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Lessons\Data Science\DS-07-Neural Networks-04-GAN\"/>
    </mc:Choice>
  </mc:AlternateContent>
  <xr:revisionPtr revIDLastSave="0" documentId="13_ncr:1_{001FE57E-6F75-43C2-A40F-9B31F2C72DA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GANs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5" i="2" l="1"/>
  <c r="AA14" i="2" l="1"/>
  <c r="AE13" i="2"/>
  <c r="AD13" i="2"/>
  <c r="AC13" i="2"/>
  <c r="AB13" i="2"/>
  <c r="AA13" i="2"/>
  <c r="AE12" i="2"/>
  <c r="AD12" i="2"/>
  <c r="AC12" i="2"/>
  <c r="AB12" i="2"/>
  <c r="AA12" i="2"/>
  <c r="AE11" i="2"/>
  <c r="AD11" i="2"/>
  <c r="AC11" i="2"/>
  <c r="AB11" i="2"/>
  <c r="AA11" i="2"/>
  <c r="AE10" i="2"/>
  <c r="AD10" i="2"/>
  <c r="AC10" i="2"/>
  <c r="AB10" i="2"/>
  <c r="AA10" i="2"/>
  <c r="AE9" i="2"/>
  <c r="AD9" i="2"/>
  <c r="AC9" i="2"/>
  <c r="AB9" i="2"/>
  <c r="AA9" i="2"/>
  <c r="O9" i="2"/>
  <c r="N9" i="2"/>
  <c r="M9" i="2"/>
  <c r="L9" i="2"/>
  <c r="K9" i="2"/>
  <c r="O8" i="2"/>
  <c r="N8" i="2"/>
  <c r="M8" i="2"/>
  <c r="L8" i="2"/>
  <c r="K8" i="2"/>
  <c r="O7" i="2"/>
  <c r="N7" i="2"/>
  <c r="M7" i="2"/>
  <c r="L7" i="2"/>
  <c r="K7" i="2"/>
  <c r="O6" i="2"/>
  <c r="N6" i="2"/>
  <c r="M6" i="2"/>
  <c r="L6" i="2"/>
  <c r="K6" i="2"/>
  <c r="O5" i="2"/>
  <c r="N5" i="2"/>
  <c r="M5" i="2"/>
  <c r="L5" i="2"/>
  <c r="K5" i="2"/>
  <c r="I9" i="2"/>
  <c r="H9" i="2"/>
  <c r="G9" i="2"/>
  <c r="F9" i="2"/>
  <c r="E9" i="2"/>
  <c r="I8" i="2"/>
  <c r="H8" i="2"/>
  <c r="G8" i="2"/>
  <c r="F8" i="2"/>
  <c r="E8" i="2"/>
  <c r="I7" i="2"/>
  <c r="H7" i="2"/>
  <c r="G7" i="2"/>
  <c r="F7" i="2"/>
  <c r="E7" i="2"/>
  <c r="I6" i="2"/>
  <c r="H6" i="2"/>
  <c r="G6" i="2"/>
  <c r="F6" i="2"/>
  <c r="E6" i="2"/>
  <c r="I5" i="2"/>
  <c r="H5" i="2"/>
  <c r="G5" i="2"/>
  <c r="F5" i="2"/>
  <c r="E5" i="2"/>
  <c r="AJ40" i="2"/>
  <c r="AN39" i="2"/>
  <c r="AM39" i="2"/>
  <c r="AL39" i="2"/>
  <c r="AK39" i="2"/>
  <c r="AJ39" i="2"/>
  <c r="AN38" i="2"/>
  <c r="AM38" i="2"/>
  <c r="AL38" i="2"/>
  <c r="AK38" i="2"/>
  <c r="AJ38" i="2"/>
  <c r="AN37" i="2"/>
  <c r="AM37" i="2"/>
  <c r="AL37" i="2"/>
  <c r="AK37" i="2"/>
  <c r="AJ37" i="2"/>
  <c r="AN36" i="2"/>
  <c r="AM36" i="2"/>
  <c r="AL36" i="2"/>
  <c r="AK36" i="2"/>
  <c r="AJ36" i="2"/>
  <c r="AN35" i="2"/>
  <c r="AM35" i="2"/>
  <c r="AL35" i="2"/>
  <c r="AK35" i="2"/>
  <c r="AJ35" i="2"/>
  <c r="Z35" i="2"/>
  <c r="AA35" i="2"/>
  <c r="AB35" i="2"/>
  <c r="AC35" i="2"/>
  <c r="AD35" i="2"/>
  <c r="Z36" i="2"/>
  <c r="AA36" i="2"/>
  <c r="AB36" i="2"/>
  <c r="AC36" i="2"/>
  <c r="AD36" i="2"/>
  <c r="Z37" i="2"/>
  <c r="AA37" i="2"/>
  <c r="AB37" i="2"/>
  <c r="AC37" i="2"/>
  <c r="AD37" i="2"/>
  <c r="Z38" i="2"/>
  <c r="AA38" i="2"/>
  <c r="AB38" i="2"/>
  <c r="AC38" i="2"/>
  <c r="AD38" i="2"/>
  <c r="Z39" i="2"/>
  <c r="AA39" i="2"/>
  <c r="AB39" i="2"/>
  <c r="AC39" i="2"/>
  <c r="AD39" i="2"/>
  <c r="AI39" i="2"/>
  <c r="AH39" i="2"/>
  <c r="AG39" i="2"/>
  <c r="AF39" i="2"/>
  <c r="AE39" i="2"/>
  <c r="AI38" i="2"/>
  <c r="AH38" i="2"/>
  <c r="AG38" i="2"/>
  <c r="AF38" i="2"/>
  <c r="AE38" i="2"/>
  <c r="AI37" i="2"/>
  <c r="AH37" i="2"/>
  <c r="AG37" i="2"/>
  <c r="AF37" i="2"/>
  <c r="AE37" i="2"/>
  <c r="AI36" i="2"/>
  <c r="AH36" i="2"/>
  <c r="AG36" i="2"/>
  <c r="AF36" i="2"/>
  <c r="AE36" i="2"/>
  <c r="AI35" i="2"/>
  <c r="AH35" i="2"/>
  <c r="AG35" i="2"/>
  <c r="AF35" i="2"/>
  <c r="AE35" i="2"/>
  <c r="U29" i="2" l="1"/>
  <c r="V29" i="2"/>
  <c r="W29" i="2"/>
  <c r="X29" i="2"/>
  <c r="Y29" i="2"/>
  <c r="U30" i="2"/>
  <c r="V30" i="2"/>
  <c r="W30" i="2"/>
  <c r="X30" i="2"/>
  <c r="Y30" i="2"/>
  <c r="U31" i="2"/>
  <c r="V31" i="2"/>
  <c r="W31" i="2"/>
  <c r="X31" i="2"/>
  <c r="Y31" i="2"/>
  <c r="U32" i="2"/>
  <c r="V32" i="2"/>
  <c r="W32" i="2"/>
  <c r="X32" i="2"/>
  <c r="Y32" i="2"/>
  <c r="V28" i="2"/>
  <c r="W28" i="2"/>
  <c r="X28" i="2"/>
  <c r="Y28" i="2"/>
  <c r="U28" i="2"/>
  <c r="U9" i="2"/>
  <c r="Q7" i="2" l="1"/>
  <c r="S8" i="2"/>
  <c r="R5" i="2"/>
  <c r="S5" i="2"/>
  <c r="U6" i="2"/>
  <c r="T8" i="2"/>
  <c r="T5" i="2"/>
  <c r="R7" i="2"/>
  <c r="U8" i="2"/>
  <c r="U5" i="2"/>
  <c r="S7" i="2"/>
  <c r="Q9" i="2"/>
  <c r="Q6" i="2"/>
  <c r="T7" i="2"/>
  <c r="R9" i="2"/>
  <c r="R6" i="2"/>
  <c r="U7" i="2"/>
  <c r="S9" i="2"/>
  <c r="S6" i="2"/>
  <c r="Q8" i="2"/>
  <c r="T9" i="2"/>
  <c r="Q5" i="2"/>
  <c r="T6" i="2"/>
  <c r="R8" i="2"/>
  <c r="AH11" i="2" l="1"/>
  <c r="AS14" i="2" s="1"/>
  <c r="X15" i="2"/>
  <c r="AW9" i="2" l="1"/>
  <c r="AI32" i="2" s="1"/>
  <c r="AT8" i="2"/>
  <c r="AF31" i="2" s="1"/>
  <c r="AV6" i="2"/>
  <c r="AH29" i="2" s="1"/>
  <c r="AV9" i="2"/>
  <c r="AH32" i="2" s="1"/>
  <c r="AS8" i="2"/>
  <c r="AE31" i="2" s="1"/>
  <c r="AU6" i="2"/>
  <c r="AG29" i="2" s="1"/>
  <c r="AU9" i="2"/>
  <c r="AG32" i="2" s="1"/>
  <c r="AW7" i="2"/>
  <c r="AI30" i="2" s="1"/>
  <c r="AT6" i="2"/>
  <c r="AF29" i="2" s="1"/>
  <c r="AT9" i="2"/>
  <c r="AF32" i="2" s="1"/>
  <c r="AV7" i="2"/>
  <c r="AH30" i="2" s="1"/>
  <c r="AS6" i="2"/>
  <c r="AE29" i="2" s="1"/>
  <c r="AU5" i="2"/>
  <c r="AG28" i="2" s="1"/>
  <c r="AS9" i="2"/>
  <c r="AE32" i="2" s="1"/>
  <c r="AU7" i="2"/>
  <c r="AG30" i="2" s="1"/>
  <c r="AW5" i="2"/>
  <c r="AI28" i="2" s="1"/>
  <c r="AS7" i="2"/>
  <c r="AE30" i="2" s="1"/>
  <c r="AW8" i="2"/>
  <c r="AI31" i="2" s="1"/>
  <c r="AT7" i="2"/>
  <c r="AF30" i="2" s="1"/>
  <c r="AV5" i="2"/>
  <c r="AH28" i="2" s="1"/>
  <c r="AV8" i="2"/>
  <c r="AH31" i="2" s="1"/>
  <c r="AU8" i="2"/>
  <c r="AG31" i="2" s="1"/>
  <c r="AW6" i="2"/>
  <c r="AI29" i="2" s="1"/>
  <c r="AT5" i="2"/>
  <c r="AF28" i="2" s="1"/>
  <c r="AQ9" i="2"/>
  <c r="AD32" i="2" s="1"/>
  <c r="AN8" i="2"/>
  <c r="AA31" i="2" s="1"/>
  <c r="AP6" i="2"/>
  <c r="AC29" i="2" s="1"/>
  <c r="AO6" i="2"/>
  <c r="AB29" i="2" s="1"/>
  <c r="AO9" i="2"/>
  <c r="AB32" i="2" s="1"/>
  <c r="AQ7" i="2"/>
  <c r="AD30" i="2" s="1"/>
  <c r="AN6" i="2"/>
  <c r="AA29" i="2" s="1"/>
  <c r="AQ8" i="2"/>
  <c r="AD31" i="2" s="1"/>
  <c r="AN7" i="2"/>
  <c r="AA30" i="2" s="1"/>
  <c r="AP9" i="2"/>
  <c r="AC32" i="2" s="1"/>
  <c r="AN9" i="2"/>
  <c r="AA32" i="2" s="1"/>
  <c r="AP7" i="2"/>
  <c r="AC30" i="2" s="1"/>
  <c r="AM6" i="2"/>
  <c r="Z29" i="2" s="1"/>
  <c r="AP5" i="2"/>
  <c r="AC28" i="2" s="1"/>
  <c r="AM9" i="2"/>
  <c r="Z32" i="2" s="1"/>
  <c r="AO7" i="2"/>
  <c r="AB30" i="2" s="1"/>
  <c r="AQ5" i="2"/>
  <c r="AD28" i="2" s="1"/>
  <c r="AP8" i="2"/>
  <c r="AC31" i="2" s="1"/>
  <c r="AM7" i="2"/>
  <c r="Z30" i="2" s="1"/>
  <c r="AO5" i="2"/>
  <c r="AB28" i="2" s="1"/>
  <c r="AO8" i="2"/>
  <c r="AB31" i="2" s="1"/>
  <c r="AQ6" i="2"/>
  <c r="AD29" i="2" s="1"/>
  <c r="AN5" i="2"/>
  <c r="AA28" i="2" s="1"/>
  <c r="AM8" i="2"/>
  <c r="Z31" i="2" s="1"/>
  <c r="AS5" i="2"/>
  <c r="AE28" i="2" s="1"/>
  <c r="AO17" i="2"/>
  <c r="AM5" i="2"/>
  <c r="Z28" i="2" s="1"/>
  <c r="AT15" i="2"/>
  <c r="AU17" i="2"/>
  <c r="AO15" i="2"/>
  <c r="AM15" i="2"/>
  <c r="AN17" i="2"/>
  <c r="AT17" i="2"/>
  <c r="AS18" i="2"/>
  <c r="AW17" i="2"/>
  <c r="AP17" i="2"/>
  <c r="AO14" i="2"/>
  <c r="AS17" i="2"/>
  <c r="AM17" i="2"/>
  <c r="AN16" i="2"/>
  <c r="AV16" i="2"/>
  <c r="AV17" i="2"/>
  <c r="AM18" i="2"/>
  <c r="AV18" i="2"/>
  <c r="AN14" i="2"/>
  <c r="AP14" i="2"/>
  <c r="AM14" i="2"/>
  <c r="AJ28" i="2" s="1"/>
  <c r="AS15" i="2"/>
  <c r="AT14" i="2"/>
  <c r="AW16" i="2"/>
  <c r="AP16" i="2"/>
  <c r="AW14" i="2"/>
  <c r="AM16" i="2"/>
  <c r="AQ15" i="2"/>
  <c r="AQ14" i="2"/>
  <c r="AN15" i="2"/>
  <c r="AP18" i="2"/>
  <c r="AN18" i="2"/>
  <c r="AV14" i="2"/>
  <c r="AU18" i="2"/>
  <c r="AW18" i="2"/>
  <c r="AS16" i="2"/>
  <c r="AP15" i="2"/>
  <c r="AW15" i="2"/>
  <c r="AQ17" i="2"/>
  <c r="AU15" i="2"/>
  <c r="AQ16" i="2"/>
  <c r="AU14" i="2"/>
  <c r="AV15" i="2"/>
  <c r="AU16" i="2"/>
  <c r="AO18" i="2"/>
  <c r="AT18" i="2"/>
  <c r="AQ18" i="2"/>
  <c r="AT16" i="2"/>
  <c r="AO16" i="2"/>
  <c r="AS19" i="2"/>
  <c r="AM19" i="2"/>
  <c r="AK11" i="2"/>
  <c r="AK12" i="2"/>
  <c r="AK29" i="2" l="1"/>
  <c r="AN32" i="2"/>
  <c r="AN28" i="2"/>
  <c r="AM28" i="2"/>
  <c r="AL32" i="2"/>
  <c r="AJ33" i="2"/>
  <c r="AN31" i="2"/>
  <c r="AM32" i="2"/>
  <c r="AK30" i="2"/>
  <c r="AK31" i="2"/>
  <c r="AM29" i="2"/>
  <c r="AL29" i="2"/>
  <c r="AN30" i="2"/>
  <c r="AJ31" i="2"/>
  <c r="AJ29" i="2"/>
  <c r="AN29" i="2"/>
  <c r="AK28" i="2"/>
  <c r="AL28" i="2"/>
  <c r="AJ30" i="2"/>
  <c r="AM31" i="2"/>
  <c r="AL30" i="2"/>
  <c r="AM30" i="2"/>
  <c r="AJ32" i="2"/>
  <c r="AK32" i="2"/>
  <c r="AL31" i="2"/>
</calcChain>
</file>

<file path=xl/sharedStrings.xml><?xml version="1.0" encoding="utf-8"?>
<sst xmlns="http://schemas.openxmlformats.org/spreadsheetml/2006/main" count="21" uniqueCount="20">
  <si>
    <t>Z</t>
  </si>
  <si>
    <t>Fake Sample</t>
  </si>
  <si>
    <t>Real Sample</t>
  </si>
  <si>
    <t>Template</t>
  </si>
  <si>
    <t>G Weigths</t>
  </si>
  <si>
    <t>D Weigths</t>
  </si>
  <si>
    <t>bias</t>
  </si>
  <si>
    <t>D</t>
  </si>
  <si>
    <t>Error</t>
  </si>
  <si>
    <t>Cls 0</t>
  </si>
  <si>
    <t>Cls 1</t>
  </si>
  <si>
    <t>alpha</t>
  </si>
  <si>
    <t>epoch</t>
  </si>
  <si>
    <t>i</t>
  </si>
  <si>
    <t>G Biases</t>
  </si>
  <si>
    <t>D Weigths Update - Fake</t>
  </si>
  <si>
    <t>D Weigths Update - Real</t>
  </si>
  <si>
    <t>G Weigths Updates</t>
  </si>
  <si>
    <t>G Bias Updates</t>
  </si>
  <si>
    <t>https://github.com/Valdecy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</si>
</sst>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sz val="8"/>
      <color theme="0"/>
      <name val="Times New Roman"/>
      <family val="1"/>
    </font>
    <font>
      <b/>
      <sz val="8"/>
      <color theme="0"/>
      <name val="Times New Roman"/>
      <family val="1"/>
    </font>
    <font>
      <sz val="8"/>
      <name val="Times New Roman"/>
      <family val="1"/>
    </font>
    <font>
      <u/>
      <sz val="11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/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/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1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4" fillId="3" borderId="14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21" xfId="0" applyNumberFormat="1" applyFont="1" applyBorder="1" applyAlignment="1">
      <alignment horizontal="center" vertical="center"/>
    </xf>
    <xf numFmtId="164" fontId="1" fillId="0" borderId="22" xfId="0" applyNumberFormat="1" applyFont="1" applyBorder="1" applyAlignment="1">
      <alignment horizontal="center" vertical="center"/>
    </xf>
    <xf numFmtId="164" fontId="1" fillId="0" borderId="13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left" vertical="center"/>
    </xf>
    <xf numFmtId="164" fontId="1" fillId="0" borderId="3" xfId="0" applyNumberFormat="1" applyFont="1" applyBorder="1" applyAlignment="1">
      <alignment horizontal="left" vertical="center"/>
    </xf>
    <xf numFmtId="164" fontId="1" fillId="0" borderId="4" xfId="0" applyNumberFormat="1" applyFont="1" applyBorder="1" applyAlignment="1">
      <alignment horizontal="left" vertical="center"/>
    </xf>
    <xf numFmtId="164" fontId="1" fillId="0" borderId="5" xfId="0" applyNumberFormat="1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left" vertical="center"/>
    </xf>
    <xf numFmtId="164" fontId="1" fillId="0" borderId="6" xfId="0" applyNumberFormat="1" applyFont="1" applyBorder="1" applyAlignment="1">
      <alignment horizontal="left" vertical="center"/>
    </xf>
    <xf numFmtId="164" fontId="1" fillId="0" borderId="7" xfId="0" applyNumberFormat="1" applyFont="1" applyBorder="1" applyAlignment="1">
      <alignment horizontal="left" vertical="center"/>
    </xf>
    <xf numFmtId="164" fontId="1" fillId="0" borderId="8" xfId="0" applyNumberFormat="1" applyFont="1" applyBorder="1" applyAlignment="1">
      <alignment horizontal="left" vertical="center"/>
    </xf>
    <xf numFmtId="164" fontId="1" fillId="0" borderId="9" xfId="0" applyNumberFormat="1" applyFont="1" applyBorder="1" applyAlignment="1">
      <alignment horizontal="left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left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2" xfId="0" applyNumberFormat="1" applyFont="1" applyBorder="1" applyAlignment="1">
      <alignment horizontal="left" vertical="center"/>
    </xf>
    <xf numFmtId="164" fontId="4" fillId="0" borderId="3" xfId="0" applyNumberFormat="1" applyFont="1" applyBorder="1" applyAlignment="1">
      <alignment horizontal="left" vertical="center"/>
    </xf>
    <xf numFmtId="164" fontId="4" fillId="0" borderId="4" xfId="0" applyNumberFormat="1" applyFont="1" applyBorder="1" applyAlignment="1">
      <alignment horizontal="left" vertical="center"/>
    </xf>
    <xf numFmtId="164" fontId="4" fillId="0" borderId="5" xfId="0" applyNumberFormat="1" applyFont="1" applyBorder="1" applyAlignment="1">
      <alignment horizontal="left" vertical="center"/>
    </xf>
    <xf numFmtId="164" fontId="4" fillId="0" borderId="0" xfId="0" applyNumberFormat="1" applyFont="1" applyBorder="1" applyAlignment="1">
      <alignment horizontal="left" vertical="center"/>
    </xf>
    <xf numFmtId="164" fontId="4" fillId="0" borderId="6" xfId="0" applyNumberFormat="1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left" vertical="center"/>
    </xf>
    <xf numFmtId="164" fontId="4" fillId="0" borderId="8" xfId="0" applyNumberFormat="1" applyFont="1" applyBorder="1" applyAlignment="1">
      <alignment horizontal="left" vertical="center"/>
    </xf>
    <xf numFmtId="164" fontId="4" fillId="0" borderId="9" xfId="0" applyNumberFormat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</xdr:colOff>
      <xdr:row>6</xdr:row>
      <xdr:rowOff>180975</xdr:rowOff>
    </xdr:from>
    <xdr:to>
      <xdr:col>25</xdr:col>
      <xdr:colOff>333375</xdr:colOff>
      <xdr:row>10</xdr:row>
      <xdr:rowOff>257175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7124700" y="2295525"/>
          <a:ext cx="1733550" cy="148590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10</xdr:row>
      <xdr:rowOff>295275</xdr:rowOff>
    </xdr:from>
    <xdr:to>
      <xdr:col>25</xdr:col>
      <xdr:colOff>323850</xdr:colOff>
      <xdr:row>15</xdr:row>
      <xdr:rowOff>200025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V="1">
          <a:off x="7058025" y="3114675"/>
          <a:ext cx="1724025" cy="1666875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32</xdr:col>
      <xdr:colOff>128587</xdr:colOff>
      <xdr:row>10</xdr:row>
      <xdr:rowOff>109537</xdr:rowOff>
    </xdr:from>
    <xdr:ext cx="113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1120437" y="3633787"/>
              <a:ext cx="113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pt-B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</m:acc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1120437" y="3633787"/>
              <a:ext cx="113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 ̂</a:t>
              </a:r>
              <a:endParaRPr lang="pt-B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228600</xdr:colOff>
          <xdr:row>1</xdr:row>
          <xdr:rowOff>38100</xdr:rowOff>
        </xdr:from>
        <xdr:to>
          <xdr:col>37</xdr:col>
          <xdr:colOff>0</xdr:colOff>
          <xdr:row>1</xdr:row>
          <xdr:rowOff>314325</xdr:rowOff>
        </xdr:to>
        <xdr:sp macro="" textlink="">
          <xdr:nvSpPr>
            <xdr:cNvPr id="2054" name="CommandButton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Valdecy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08891-1D6A-4AC5-96BF-F94091F07FFE}">
  <sheetPr codeName="Planilha1"/>
  <dimension ref="B1:AW441"/>
  <sheetViews>
    <sheetView showGridLines="0" tabSelected="1" zoomScaleNormal="100" workbookViewId="0">
      <selection activeCell="S1" sqref="S1"/>
    </sheetView>
  </sheetViews>
  <sheetFormatPr defaultRowHeight="11.25" x14ac:dyDescent="0.25"/>
  <cols>
    <col min="1" max="1" width="1" style="1" customWidth="1"/>
    <col min="2" max="3" width="5.28515625" style="1" customWidth="1"/>
    <col min="4" max="4" width="1" style="1" customWidth="1"/>
    <col min="5" max="9" width="5.28515625" style="1" customWidth="1"/>
    <col min="10" max="10" width="1" style="1" customWidth="1"/>
    <col min="11" max="15" width="5.28515625" style="1" customWidth="1"/>
    <col min="16" max="16" width="1" style="1" customWidth="1"/>
    <col min="17" max="31" width="5.28515625" style="1" customWidth="1"/>
    <col min="32" max="32" width="1" style="1" customWidth="1"/>
    <col min="33" max="34" width="5.28515625" style="1" customWidth="1"/>
    <col min="35" max="35" width="1" style="1" customWidth="1"/>
    <col min="36" max="37" width="5.28515625" style="1" customWidth="1"/>
    <col min="38" max="38" width="1" style="1" customWidth="1"/>
    <col min="39" max="43" width="5.28515625" style="1" customWidth="1"/>
    <col min="44" max="44" width="1" style="1" customWidth="1"/>
    <col min="45" max="397" width="5.28515625" style="1" customWidth="1"/>
    <col min="398" max="16384" width="9.140625" style="1"/>
  </cols>
  <sheetData>
    <row r="1" spans="2:49" ht="27.75" customHeight="1" x14ac:dyDescent="0.25">
      <c r="AQ1" s="51"/>
      <c r="AR1" s="51"/>
    </row>
    <row r="2" spans="2:49" ht="27.75" customHeight="1" x14ac:dyDescent="0.25">
      <c r="B2" s="88" t="s">
        <v>19</v>
      </c>
      <c r="C2" s="89"/>
      <c r="D2" s="89"/>
      <c r="E2" s="89"/>
      <c r="F2" s="89"/>
      <c r="G2" s="89"/>
      <c r="H2" s="89"/>
      <c r="I2" s="90"/>
      <c r="AM2" s="12" t="s">
        <v>11</v>
      </c>
      <c r="AN2" s="48">
        <v>0.5</v>
      </c>
      <c r="AO2" s="13" t="s">
        <v>12</v>
      </c>
      <c r="AP2" s="49">
        <v>95</v>
      </c>
      <c r="AQ2" s="51"/>
      <c r="AR2" s="51">
        <v>10000</v>
      </c>
      <c r="AS2" s="14" t="s">
        <v>13</v>
      </c>
      <c r="AT2" s="49">
        <v>0</v>
      </c>
    </row>
    <row r="3" spans="2:49" ht="27.75" customHeight="1" x14ac:dyDescent="0.25"/>
    <row r="4" spans="2:49" ht="27.75" customHeight="1" x14ac:dyDescent="0.25">
      <c r="E4" s="83" t="s">
        <v>4</v>
      </c>
      <c r="F4" s="84"/>
      <c r="G4" s="84"/>
      <c r="H4" s="84"/>
      <c r="I4" s="85"/>
      <c r="J4" s="2"/>
      <c r="K4" s="83" t="s">
        <v>14</v>
      </c>
      <c r="L4" s="84"/>
      <c r="M4" s="84"/>
      <c r="N4" s="84"/>
      <c r="O4" s="85"/>
      <c r="P4" s="2"/>
      <c r="Q4" s="83" t="s">
        <v>1</v>
      </c>
      <c r="R4" s="84"/>
      <c r="S4" s="84"/>
      <c r="T4" s="84"/>
      <c r="U4" s="85"/>
      <c r="AM4" s="83" t="s">
        <v>17</v>
      </c>
      <c r="AN4" s="84"/>
      <c r="AO4" s="84"/>
      <c r="AP4" s="84"/>
      <c r="AQ4" s="85"/>
      <c r="AS4" s="83" t="s">
        <v>18</v>
      </c>
      <c r="AT4" s="84"/>
      <c r="AU4" s="84"/>
      <c r="AV4" s="84"/>
      <c r="AW4" s="85"/>
    </row>
    <row r="5" spans="2:49" ht="27.75" customHeight="1" x14ac:dyDescent="0.25">
      <c r="E5" s="15">
        <f t="shared" ref="E5:I9" si="0">Z21</f>
        <v>0.41128929697885142</v>
      </c>
      <c r="F5" s="16">
        <f t="shared" si="0"/>
        <v>0.44197329884991299</v>
      </c>
      <c r="G5" s="16">
        <f t="shared" si="0"/>
        <v>0.41007353443902045</v>
      </c>
      <c r="H5" s="16">
        <f t="shared" si="0"/>
        <v>-0.41736514301051852</v>
      </c>
      <c r="I5" s="17">
        <f t="shared" si="0"/>
        <v>0.44272938938482576</v>
      </c>
      <c r="J5" s="2"/>
      <c r="K5" s="27">
        <f t="shared" ref="K5:O9" si="1">AE21</f>
        <v>-2.5055848627039468</v>
      </c>
      <c r="L5" s="28">
        <f t="shared" si="1"/>
        <v>2.0215794016578772</v>
      </c>
      <c r="M5" s="28">
        <f t="shared" si="1"/>
        <v>-0.14885172729530052</v>
      </c>
      <c r="N5" s="28">
        <f t="shared" si="1"/>
        <v>-0.78173354769516301</v>
      </c>
      <c r="O5" s="29">
        <f t="shared" si="1"/>
        <v>-1.3096636252575469</v>
      </c>
      <c r="P5" s="2"/>
      <c r="Q5" s="26">
        <f>EXP(($C$6*E5+$C$7*K5))/(1+EXP(($C$6*E5+$C$7*K5)))</f>
        <v>6.0185811546807556E-2</v>
      </c>
      <c r="R5" s="26">
        <f t="shared" ref="R5:R9" si="2">EXP(($C$6*F5+$C$7*L5))/(1+EXP(($C$6*F5+$C$7*L5)))</f>
        <v>0.85331172325447902</v>
      </c>
      <c r="S5" s="26">
        <f t="shared" ref="S5:S9" si="3">EXP(($C$6*G5+$C$7*M5))/(1+EXP(($C$6*G5+$C$7*M5)))</f>
        <v>0.40352590819061257</v>
      </c>
      <c r="T5" s="26">
        <f t="shared" ref="T5:T9" si="4">EXP(($C$6*H5+$C$7*N5))/(1+EXP(($C$6*H5+$C$7*N5)))</f>
        <v>0.36923778489599196</v>
      </c>
      <c r="U5" s="26">
        <f t="shared" ref="U5:U9" si="5">EXP(($C$6*I5+$C$7*O5))/(1+EXP(($C$6*I5+$C$7*O5)))</f>
        <v>0.17209183680355156</v>
      </c>
      <c r="AM5" s="15">
        <f>-(1-$AH$11)*AA9*Q5*(1-Q5)*$C$6</f>
        <v>1.253431653910704E-2</v>
      </c>
      <c r="AN5" s="16">
        <f t="shared" ref="AN5:AQ5" si="6">-(1-$AH$11)*AB9*R5*(1-R5)*$C$6</f>
        <v>0.12133500620262506</v>
      </c>
      <c r="AO5" s="16">
        <f t="shared" si="6"/>
        <v>-9.934923490278167E-3</v>
      </c>
      <c r="AP5" s="16">
        <f t="shared" si="6"/>
        <v>-3.7621607723644875E-2</v>
      </c>
      <c r="AQ5" s="17">
        <f t="shared" si="6"/>
        <v>-5.2399035303898278E-2</v>
      </c>
      <c r="AS5" s="27">
        <f>-(1-$AH$11)*AA9*Q5*(1-Q5)</f>
        <v>-2.1244604303571255E-2</v>
      </c>
      <c r="AT5" s="28">
        <f t="shared" ref="AT5:AW5" si="7">-(1-$AH$11)*AB9*R5*(1-R5)</f>
        <v>-0.2056525528858052</v>
      </c>
      <c r="AU5" s="28">
        <f t="shared" si="7"/>
        <v>1.6838853373352825E-2</v>
      </c>
      <c r="AV5" s="28">
        <f t="shared" si="7"/>
        <v>6.3765436819737079E-2</v>
      </c>
      <c r="AW5" s="29">
        <f t="shared" si="7"/>
        <v>8.881192424389539E-2</v>
      </c>
    </row>
    <row r="6" spans="2:49" ht="27.75" customHeight="1" x14ac:dyDescent="0.25">
      <c r="B6" s="7" t="s">
        <v>0</v>
      </c>
      <c r="C6" s="36">
        <v>-0.59</v>
      </c>
      <c r="E6" s="18">
        <f t="shared" si="0"/>
        <v>0.3588261165685101</v>
      </c>
      <c r="F6" s="19">
        <f t="shared" si="0"/>
        <v>0.60941215636099277</v>
      </c>
      <c r="G6" s="19">
        <f t="shared" si="0"/>
        <v>0.48240134746387581</v>
      </c>
      <c r="H6" s="19">
        <f t="shared" si="0"/>
        <v>1.3223127910773842</v>
      </c>
      <c r="I6" s="20">
        <f t="shared" si="0"/>
        <v>0.2574254541824238</v>
      </c>
      <c r="J6" s="2"/>
      <c r="K6" s="30">
        <f t="shared" si="1"/>
        <v>1.806863557588664</v>
      </c>
      <c r="L6" s="31">
        <f t="shared" si="1"/>
        <v>0.95586410230645436</v>
      </c>
      <c r="M6" s="31">
        <f t="shared" si="1"/>
        <v>1.1614762698651324</v>
      </c>
      <c r="N6" s="31">
        <f t="shared" si="1"/>
        <v>2.3335963758981038</v>
      </c>
      <c r="O6" s="32">
        <f t="shared" si="1"/>
        <v>-3.3965558483206787E-2</v>
      </c>
      <c r="P6" s="2"/>
      <c r="Q6" s="26">
        <f t="shared" ref="Q6:Q9" si="8">EXP(($C$6*E6+$C$7*K6))/(1+EXP(($C$6*E6+$C$7*K6)))</f>
        <v>0.83134030092298361</v>
      </c>
      <c r="R6" s="26">
        <f t="shared" si="2"/>
        <v>0.64481185236206806</v>
      </c>
      <c r="S6" s="26">
        <f t="shared" si="3"/>
        <v>0.7061710046761206</v>
      </c>
      <c r="T6" s="26">
        <f t="shared" si="4"/>
        <v>0.82540884202542641</v>
      </c>
      <c r="U6" s="26">
        <f t="shared" si="5"/>
        <v>0.45367162364685559</v>
      </c>
      <c r="AM6" s="18">
        <f t="shared" ref="AM6:AQ6" si="9">-(1-$AH$11)*AA10*Q6*(1-Q6)*$C$6</f>
        <v>-4.73966978239483E-2</v>
      </c>
      <c r="AN6" s="19">
        <f t="shared" si="9"/>
        <v>-2.7231421707506014E-2</v>
      </c>
      <c r="AO6" s="19">
        <f t="shared" si="9"/>
        <v>0.13608674583218938</v>
      </c>
      <c r="AP6" s="19">
        <f t="shared" si="9"/>
        <v>1.5726512017932723E-2</v>
      </c>
      <c r="AQ6" s="20">
        <f t="shared" si="9"/>
        <v>-0.19214984610278293</v>
      </c>
      <c r="AS6" s="30">
        <f t="shared" ref="AS6:AW6" si="10">-(1-$AH$11)*AA10*Q6*(1-Q6)</f>
        <v>8.033338614228526E-2</v>
      </c>
      <c r="AT6" s="31">
        <f t="shared" si="10"/>
        <v>4.6154952046620366E-2</v>
      </c>
      <c r="AU6" s="31">
        <f t="shared" si="10"/>
        <v>-0.23065550141049049</v>
      </c>
      <c r="AV6" s="31">
        <f t="shared" si="10"/>
        <v>-2.6655105115140208E-2</v>
      </c>
      <c r="AW6" s="32">
        <f t="shared" si="10"/>
        <v>0.32567770525895412</v>
      </c>
    </row>
    <row r="7" spans="2:49" ht="27.75" customHeight="1" x14ac:dyDescent="0.25">
      <c r="B7" s="8" t="s">
        <v>6</v>
      </c>
      <c r="C7" s="9">
        <v>1</v>
      </c>
      <c r="E7" s="18">
        <f t="shared" si="0"/>
        <v>-0.38023831014683002</v>
      </c>
      <c r="F7" s="19">
        <f t="shared" si="0"/>
        <v>0.30259081033329477</v>
      </c>
      <c r="G7" s="19">
        <f t="shared" si="0"/>
        <v>-0.56871829144754782</v>
      </c>
      <c r="H7" s="19">
        <f t="shared" si="0"/>
        <v>1.8699089678427721</v>
      </c>
      <c r="I7" s="20">
        <f t="shared" si="0"/>
        <v>0.65163719671940146</v>
      </c>
      <c r="J7" s="2"/>
      <c r="K7" s="30">
        <f t="shared" si="1"/>
        <v>-0.22595628061522094</v>
      </c>
      <c r="L7" s="31">
        <f t="shared" si="1"/>
        <v>1.228360266726328</v>
      </c>
      <c r="M7" s="31">
        <f t="shared" si="1"/>
        <v>0.49981316896654981</v>
      </c>
      <c r="N7" s="31">
        <f t="shared" si="1"/>
        <v>-0.89770701115845142</v>
      </c>
      <c r="O7" s="32">
        <f t="shared" si="1"/>
        <v>0.48226228784070257</v>
      </c>
      <c r="P7" s="2"/>
      <c r="Q7" s="26">
        <f t="shared" si="8"/>
        <v>0.49959608068071859</v>
      </c>
      <c r="R7" s="26">
        <f t="shared" si="2"/>
        <v>0.74074257746948957</v>
      </c>
      <c r="S7" s="26">
        <f t="shared" si="3"/>
        <v>0.69748643814041744</v>
      </c>
      <c r="T7" s="26">
        <f t="shared" si="4"/>
        <v>0.11910286773642181</v>
      </c>
      <c r="U7" s="26">
        <f t="shared" si="5"/>
        <v>0.52442961788817821</v>
      </c>
      <c r="AM7" s="18">
        <f t="shared" ref="AM7:AQ7" si="11">-(1-$AH$11)*AA11*Q7*(1-Q7)*$C$6</f>
        <v>-3.6617111737998052E-2</v>
      </c>
      <c r="AN7" s="19">
        <f t="shared" si="11"/>
        <v>3.2697842197580318E-2</v>
      </c>
      <c r="AO7" s="19">
        <f t="shared" si="11"/>
        <v>0.1309961566845575</v>
      </c>
      <c r="AP7" s="19">
        <f t="shared" si="11"/>
        <v>3.5145688967752553E-2</v>
      </c>
      <c r="AQ7" s="20">
        <f t="shared" si="11"/>
        <v>1.3794426598099842E-3</v>
      </c>
      <c r="AS7" s="30">
        <f t="shared" ref="AS7:AW7" si="12">-(1-$AH$11)*AA11*Q7*(1-Q7)</f>
        <v>6.2062901250844162E-2</v>
      </c>
      <c r="AT7" s="31">
        <f t="shared" si="12"/>
        <v>-5.5420071521322577E-2</v>
      </c>
      <c r="AU7" s="31">
        <f t="shared" si="12"/>
        <v>-0.2220273842111144</v>
      </c>
      <c r="AV7" s="31">
        <f t="shared" si="12"/>
        <v>-5.9568964352122972E-2</v>
      </c>
      <c r="AW7" s="32">
        <f t="shared" si="12"/>
        <v>-2.3380384064576004E-3</v>
      </c>
    </row>
    <row r="8" spans="2:49" ht="27.75" customHeight="1" x14ac:dyDescent="0.25">
      <c r="E8" s="18">
        <f t="shared" si="0"/>
        <v>0.71367819700093371</v>
      </c>
      <c r="F8" s="19">
        <f t="shared" si="0"/>
        <v>0.5811634503555082</v>
      </c>
      <c r="G8" s="19">
        <f t="shared" si="0"/>
        <v>-0.99394897643444946</v>
      </c>
      <c r="H8" s="19">
        <f t="shared" si="0"/>
        <v>-2.3558389454342805</v>
      </c>
      <c r="I8" s="20">
        <f t="shared" si="0"/>
        <v>0.34208628982976358</v>
      </c>
      <c r="J8" s="2"/>
      <c r="K8" s="30">
        <f t="shared" si="1"/>
        <v>-1.4342658072984777</v>
      </c>
      <c r="L8" s="31">
        <f t="shared" si="1"/>
        <v>0.10434166547074236</v>
      </c>
      <c r="M8" s="31">
        <f t="shared" si="1"/>
        <v>0.66576855510986499</v>
      </c>
      <c r="N8" s="31">
        <f t="shared" si="1"/>
        <v>0.81704138338185672</v>
      </c>
      <c r="O8" s="32">
        <f t="shared" si="1"/>
        <v>-1.1884884166350198</v>
      </c>
      <c r="P8" s="2"/>
      <c r="Q8" s="26">
        <f t="shared" si="8"/>
        <v>0.13524761251433784</v>
      </c>
      <c r="R8" s="26">
        <f t="shared" si="2"/>
        <v>0.44064500033363496</v>
      </c>
      <c r="S8" s="26">
        <f t="shared" si="3"/>
        <v>0.77768019158835655</v>
      </c>
      <c r="T8" s="26">
        <f t="shared" si="4"/>
        <v>0.90087513644008166</v>
      </c>
      <c r="U8" s="26">
        <f t="shared" si="5"/>
        <v>0.19935678290419326</v>
      </c>
      <c r="X8" s="6">
        <v>1</v>
      </c>
      <c r="AA8" s="83" t="s">
        <v>5</v>
      </c>
      <c r="AB8" s="84"/>
      <c r="AC8" s="84"/>
      <c r="AD8" s="84"/>
      <c r="AE8" s="85"/>
      <c r="AM8" s="18">
        <f t="shared" ref="AM8:AQ8" si="13">-(1-$AH$11)*AA12*Q8*(1-Q8)*$C$6</f>
        <v>-5.4457316184129308E-2</v>
      </c>
      <c r="AN8" s="19">
        <f t="shared" si="13"/>
        <v>-4.296914359245143E-2</v>
      </c>
      <c r="AO8" s="19">
        <f t="shared" si="13"/>
        <v>-0.17381536556078844</v>
      </c>
      <c r="AP8" s="19">
        <f t="shared" si="13"/>
        <v>-5.9100212580856563E-2</v>
      </c>
      <c r="AQ8" s="20">
        <f t="shared" si="13"/>
        <v>-6.6552455350003717E-2</v>
      </c>
      <c r="AS8" s="30">
        <f t="shared" ref="AS8:AW8" si="14">-(1-$AH$11)*AA12*Q8*(1-Q8)</f>
        <v>9.2300535905303918E-2</v>
      </c>
      <c r="AT8" s="31">
        <f t="shared" si="14"/>
        <v>7.2829056936358355E-2</v>
      </c>
      <c r="AU8" s="31">
        <f t="shared" si="14"/>
        <v>0.29460231450981095</v>
      </c>
      <c r="AV8" s="31">
        <f t="shared" si="14"/>
        <v>0.10016985183196028</v>
      </c>
      <c r="AW8" s="32">
        <f t="shared" si="14"/>
        <v>0.11280077177966732</v>
      </c>
    </row>
    <row r="9" spans="2:49" ht="27.75" customHeight="1" x14ac:dyDescent="0.25">
      <c r="E9" s="21">
        <f t="shared" si="0"/>
        <v>0.53774298387442176</v>
      </c>
      <c r="F9" s="22">
        <f t="shared" si="0"/>
        <v>-1.1744301121049299</v>
      </c>
      <c r="G9" s="22">
        <f t="shared" si="0"/>
        <v>0.17866532095676851</v>
      </c>
      <c r="H9" s="22">
        <f t="shared" si="0"/>
        <v>-1.4733627908476239</v>
      </c>
      <c r="I9" s="23">
        <f t="shared" si="0"/>
        <v>-3.6022689037327159E-2</v>
      </c>
      <c r="J9" s="2"/>
      <c r="K9" s="33">
        <f t="shared" si="1"/>
        <v>-0.38387565136824964</v>
      </c>
      <c r="L9" s="34">
        <f t="shared" si="1"/>
        <v>-0.2880856128551928</v>
      </c>
      <c r="M9" s="34">
        <f t="shared" si="1"/>
        <v>-0.45120864752833423</v>
      </c>
      <c r="N9" s="34">
        <f t="shared" si="1"/>
        <v>-0.6842264282189966</v>
      </c>
      <c r="O9" s="35">
        <f t="shared" si="1"/>
        <v>1.0749259617871105</v>
      </c>
      <c r="P9" s="2"/>
      <c r="Q9" s="26">
        <f t="shared" si="8"/>
        <v>0.3315586344978152</v>
      </c>
      <c r="R9" s="26">
        <f t="shared" si="2"/>
        <v>0.59984712111032656</v>
      </c>
      <c r="S9" s="26">
        <f t="shared" si="3"/>
        <v>0.36432961173992801</v>
      </c>
      <c r="T9" s="26">
        <f t="shared" si="4"/>
        <v>0.54613282305342248</v>
      </c>
      <c r="U9" s="26">
        <f t="shared" si="5"/>
        <v>0.74954354627855124</v>
      </c>
      <c r="AA9" s="15">
        <f t="shared" ref="AA9:AE13" si="15">AJ21</f>
        <v>0.47031212817187862</v>
      </c>
      <c r="AB9" s="16">
        <f t="shared" si="15"/>
        <v>2.0573332080450117</v>
      </c>
      <c r="AC9" s="16">
        <f t="shared" si="15"/>
        <v>-8.7603842786099409E-2</v>
      </c>
      <c r="AD9" s="16">
        <f t="shared" si="15"/>
        <v>-0.34283660251617903</v>
      </c>
      <c r="AE9" s="17">
        <f t="shared" si="15"/>
        <v>-0.78055317586794914</v>
      </c>
      <c r="AM9" s="21">
        <f t="shared" ref="AM9:AQ9" si="16">-(1-$AH$11)*AA13*Q9*(1-Q9)*$C$6</f>
        <v>-0.16818563513479975</v>
      </c>
      <c r="AN9" s="22">
        <f t="shared" si="16"/>
        <v>-1.4019951191523139E-2</v>
      </c>
      <c r="AO9" s="22">
        <f t="shared" si="16"/>
        <v>-0.17733584581920422</v>
      </c>
      <c r="AP9" s="22">
        <f t="shared" si="16"/>
        <v>8.2623640704100512E-2</v>
      </c>
      <c r="AQ9" s="23">
        <f t="shared" si="16"/>
        <v>-6.5454939781263103E-3</v>
      </c>
      <c r="AS9" s="33">
        <f t="shared" ref="AS9:AW9" si="17">-(1-$AH$11)*AA13*Q9*(1-Q9)</f>
        <v>0.28506039853355891</v>
      </c>
      <c r="AT9" s="34">
        <f t="shared" si="17"/>
        <v>2.3762629138174812E-2</v>
      </c>
      <c r="AU9" s="34">
        <f t="shared" si="17"/>
        <v>0.30056923020204107</v>
      </c>
      <c r="AV9" s="34">
        <f t="shared" si="17"/>
        <v>-0.14004006899000088</v>
      </c>
      <c r="AW9" s="35">
        <f t="shared" si="17"/>
        <v>1.1094057590044594E-2</v>
      </c>
    </row>
    <row r="10" spans="2:49" ht="27.75" customHeight="1" x14ac:dyDescent="0.25">
      <c r="AA10" s="18">
        <f t="shared" si="15"/>
        <v>-0.71743005752234135</v>
      </c>
      <c r="AB10" s="19">
        <f t="shared" si="15"/>
        <v>-0.25234835452576593</v>
      </c>
      <c r="AC10" s="19">
        <f t="shared" si="15"/>
        <v>1.3919798094718743</v>
      </c>
      <c r="AD10" s="19">
        <f t="shared" si="15"/>
        <v>0.23161286956202831</v>
      </c>
      <c r="AE10" s="20">
        <f t="shared" si="15"/>
        <v>-1.645380345424365</v>
      </c>
      <c r="AG10" s="83" t="s">
        <v>7</v>
      </c>
      <c r="AH10" s="85"/>
      <c r="AJ10" s="86" t="s">
        <v>8</v>
      </c>
      <c r="AK10" s="87"/>
    </row>
    <row r="11" spans="2:49" ht="27.75" customHeight="1" x14ac:dyDescent="0.25">
      <c r="AA11" s="18">
        <f t="shared" si="15"/>
        <v>-0.31086082730726117</v>
      </c>
      <c r="AB11" s="19">
        <f t="shared" si="15"/>
        <v>0.36136178642811817</v>
      </c>
      <c r="AC11" s="19">
        <f t="shared" si="15"/>
        <v>1.31764851130334</v>
      </c>
      <c r="AD11" s="19">
        <f t="shared" si="15"/>
        <v>0.71096183011425707</v>
      </c>
      <c r="AE11" s="20">
        <f t="shared" si="15"/>
        <v>1.1738788567285085E-2</v>
      </c>
      <c r="AG11" s="3"/>
      <c r="AH11" s="17">
        <f>EXP((IF(X8=1,SUMPRODUCT(Q5:U9,AA9:AE13)+$AH$12*$AA$14,SUMPRODUCT(Q14:U18,AA9:AE13)+$AH$12*$AA$14)))/(1+EXP((IF(X8=1,SUMPRODUCT(Q5:U9,AA9:AE13)+$AH$12*$AA$14,SUMPRODUCT(Q14:U18,AA9:AE13)+$AH$12*$AA$14))))</f>
        <v>0.20140543546867204</v>
      </c>
      <c r="AJ11" s="4" t="s">
        <v>9</v>
      </c>
      <c r="AK11" s="20">
        <f>-LN(1-AH11)</f>
        <v>0.22490189062295063</v>
      </c>
    </row>
    <row r="12" spans="2:49" ht="27.75" customHeight="1" x14ac:dyDescent="0.25">
      <c r="AA12" s="18">
        <f t="shared" si="15"/>
        <v>-0.9882264998279835</v>
      </c>
      <c r="AB12" s="19">
        <f t="shared" si="15"/>
        <v>-0.37000020545812445</v>
      </c>
      <c r="AC12" s="19">
        <f t="shared" si="15"/>
        <v>-2.1336864928378563</v>
      </c>
      <c r="AD12" s="19">
        <f t="shared" si="15"/>
        <v>-1.4046349751331388</v>
      </c>
      <c r="AE12" s="20">
        <f t="shared" si="15"/>
        <v>-0.88494376915324635</v>
      </c>
      <c r="AG12" s="10" t="s">
        <v>6</v>
      </c>
      <c r="AH12" s="11">
        <v>1</v>
      </c>
      <c r="AJ12" s="5" t="s">
        <v>10</v>
      </c>
      <c r="AK12" s="23">
        <f>-LN(AH11)</f>
        <v>1.6024353106374667</v>
      </c>
    </row>
    <row r="13" spans="2:49" ht="27.75" customHeight="1" x14ac:dyDescent="0.25">
      <c r="K13" s="83" t="s">
        <v>3</v>
      </c>
      <c r="L13" s="84"/>
      <c r="M13" s="84"/>
      <c r="N13" s="84"/>
      <c r="O13" s="85"/>
      <c r="P13" s="2"/>
      <c r="Q13" s="83" t="s">
        <v>2</v>
      </c>
      <c r="R13" s="84"/>
      <c r="S13" s="84"/>
      <c r="T13" s="84"/>
      <c r="U13" s="85"/>
      <c r="AA13" s="21">
        <f t="shared" si="15"/>
        <v>-1.6105969708990053</v>
      </c>
      <c r="AB13" s="22">
        <f t="shared" si="15"/>
        <v>-0.12396572238481245</v>
      </c>
      <c r="AC13" s="22">
        <f t="shared" si="15"/>
        <v>-1.6251435075415768</v>
      </c>
      <c r="AD13" s="22">
        <f t="shared" si="15"/>
        <v>0.70745514771161067</v>
      </c>
      <c r="AE13" s="23">
        <f t="shared" si="15"/>
        <v>-7.4000553805756236E-2</v>
      </c>
      <c r="AM13" s="83" t="s">
        <v>16</v>
      </c>
      <c r="AN13" s="84"/>
      <c r="AO13" s="84"/>
      <c r="AP13" s="84"/>
      <c r="AQ13" s="85"/>
      <c r="AS13" s="83" t="s">
        <v>15</v>
      </c>
      <c r="AT13" s="84"/>
      <c r="AU13" s="84"/>
      <c r="AV13" s="84"/>
      <c r="AW13" s="85"/>
    </row>
    <row r="14" spans="2:49" ht="27.75" customHeight="1" x14ac:dyDescent="0.25">
      <c r="K14" s="50">
        <v>0</v>
      </c>
      <c r="L14" s="50">
        <v>1</v>
      </c>
      <c r="M14" s="50">
        <v>0</v>
      </c>
      <c r="N14" s="50">
        <v>1</v>
      </c>
      <c r="O14" s="50">
        <v>0</v>
      </c>
      <c r="P14" s="2"/>
      <c r="Q14" s="26">
        <v>0.08</v>
      </c>
      <c r="R14" s="26">
        <v>0.88</v>
      </c>
      <c r="S14" s="26">
        <v>0.11</v>
      </c>
      <c r="T14" s="26">
        <v>1</v>
      </c>
      <c r="U14" s="26">
        <v>0.15</v>
      </c>
      <c r="AA14" s="24">
        <f>AJ26</f>
        <v>0.61148735032000223</v>
      </c>
      <c r="AB14" s="25"/>
      <c r="AC14" s="25"/>
      <c r="AD14" s="25"/>
      <c r="AE14" s="25"/>
      <c r="AM14" s="15">
        <f>-Q14*(1-$AH$11)</f>
        <v>-6.3887565162506238E-2</v>
      </c>
      <c r="AN14" s="16">
        <f t="shared" ref="AN14:AN18" si="18">-R14*(1-$AH$11)</f>
        <v>-0.70276321678756859</v>
      </c>
      <c r="AO14" s="16">
        <f t="shared" ref="AO14:AO18" si="19">-S14*(1-$AH$11)</f>
        <v>-8.7845402098446074E-2</v>
      </c>
      <c r="AP14" s="16">
        <f t="shared" ref="AP14:AP18" si="20">-T14*(1-$AH$11)</f>
        <v>-0.79859456453132793</v>
      </c>
      <c r="AQ14" s="17">
        <f t="shared" ref="AQ14:AQ18" si="21">-U14*(1-$AH$11)</f>
        <v>-0.11978918467969918</v>
      </c>
      <c r="AS14" s="15">
        <f>($AH$11)*Q5</f>
        <v>1.2121749583620205E-2</v>
      </c>
      <c r="AT14" s="16">
        <f t="shared" ref="AT14:AW14" si="22">($AH$11)*R5</f>
        <v>0.1718616192125913</v>
      </c>
      <c r="AU14" s="16">
        <f t="shared" si="22"/>
        <v>8.1272311262021696E-2</v>
      </c>
      <c r="AV14" s="16">
        <f t="shared" si="22"/>
        <v>7.4366496858465123E-2</v>
      </c>
      <c r="AW14" s="17">
        <f t="shared" si="22"/>
        <v>3.4660231332022944E-2</v>
      </c>
    </row>
    <row r="15" spans="2:49" ht="27.75" customHeight="1" x14ac:dyDescent="0.25">
      <c r="K15" s="50">
        <v>0</v>
      </c>
      <c r="L15" s="50">
        <v>1</v>
      </c>
      <c r="M15" s="50">
        <v>0</v>
      </c>
      <c r="N15" s="50">
        <v>1</v>
      </c>
      <c r="O15" s="50">
        <v>0</v>
      </c>
      <c r="P15" s="2"/>
      <c r="Q15" s="26">
        <v>0.2</v>
      </c>
      <c r="R15" s="26">
        <v>0.96</v>
      </c>
      <c r="S15" s="26">
        <v>0.06</v>
      </c>
      <c r="T15" s="26">
        <v>0.82</v>
      </c>
      <c r="U15" s="26">
        <v>0.17</v>
      </c>
      <c r="X15" s="6">
        <f>1-X8</f>
        <v>0</v>
      </c>
      <c r="AM15" s="18">
        <f t="shared" ref="AM15:AM18" si="23">-Q15*(1-$AH$11)</f>
        <v>-0.15971891290626561</v>
      </c>
      <c r="AN15" s="19">
        <f t="shared" si="18"/>
        <v>-0.76665078195007474</v>
      </c>
      <c r="AO15" s="19">
        <f t="shared" si="19"/>
        <v>-4.7915673871879672E-2</v>
      </c>
      <c r="AP15" s="19">
        <f t="shared" si="20"/>
        <v>-0.65484754291568892</v>
      </c>
      <c r="AQ15" s="20">
        <f t="shared" si="21"/>
        <v>-0.13576107597032575</v>
      </c>
      <c r="AS15" s="18">
        <f t="shared" ref="AS15:AW15" si="24">($AH$11)*Q6</f>
        <v>0.16743645533005036</v>
      </c>
      <c r="AT15" s="19">
        <f t="shared" si="24"/>
        <v>0.12986861192034338</v>
      </c>
      <c r="AU15" s="19">
        <f t="shared" si="24"/>
        <v>0.1422266787121437</v>
      </c>
      <c r="AV15" s="19">
        <f t="shared" si="24"/>
        <v>0.16624182726782333</v>
      </c>
      <c r="AW15" s="20">
        <f t="shared" si="24"/>
        <v>9.1371930920374447E-2</v>
      </c>
    </row>
    <row r="16" spans="2:49" ht="27.75" customHeight="1" x14ac:dyDescent="0.25">
      <c r="K16" s="50">
        <v>0</v>
      </c>
      <c r="L16" s="50">
        <v>1</v>
      </c>
      <c r="M16" s="50">
        <v>1</v>
      </c>
      <c r="N16" s="50">
        <v>1</v>
      </c>
      <c r="O16" s="50">
        <v>0</v>
      </c>
      <c r="P16" s="2"/>
      <c r="Q16" s="26">
        <v>0.13</v>
      </c>
      <c r="R16" s="26">
        <v>0.96</v>
      </c>
      <c r="S16" s="26">
        <v>0.9</v>
      </c>
      <c r="T16" s="26">
        <v>1</v>
      </c>
      <c r="U16" s="26">
        <v>0.18</v>
      </c>
      <c r="AM16" s="18">
        <f t="shared" si="23"/>
        <v>-0.10381729338907264</v>
      </c>
      <c r="AN16" s="19">
        <f t="shared" si="18"/>
        <v>-0.76665078195007474</v>
      </c>
      <c r="AO16" s="19">
        <f t="shared" si="19"/>
        <v>-0.71873510807819518</v>
      </c>
      <c r="AP16" s="19">
        <f t="shared" si="20"/>
        <v>-0.79859456453132793</v>
      </c>
      <c r="AQ16" s="20">
        <f t="shared" si="21"/>
        <v>-0.14374702161563901</v>
      </c>
      <c r="AS16" s="18">
        <f t="shared" ref="AS16:AW16" si="25">($AH$11)*Q7</f>
        <v>0.10062136618794194</v>
      </c>
      <c r="AT16" s="19">
        <f t="shared" si="25"/>
        <v>0.14918958138542909</v>
      </c>
      <c r="AU16" s="19">
        <f t="shared" si="25"/>
        <v>0.14047755980716375</v>
      </c>
      <c r="AV16" s="19">
        <f t="shared" si="25"/>
        <v>2.3987964942021683E-2</v>
      </c>
      <c r="AW16" s="20">
        <f t="shared" si="25"/>
        <v>0.10562297556343782</v>
      </c>
    </row>
    <row r="17" spans="2:49" ht="27.75" customHeight="1" x14ac:dyDescent="0.25">
      <c r="K17" s="50">
        <v>0</v>
      </c>
      <c r="L17" s="50">
        <v>0</v>
      </c>
      <c r="M17" s="50">
        <v>0</v>
      </c>
      <c r="N17" s="50">
        <v>1</v>
      </c>
      <c r="O17" s="50">
        <v>0</v>
      </c>
      <c r="P17" s="2"/>
      <c r="Q17" s="26">
        <v>0.05</v>
      </c>
      <c r="R17" s="26">
        <v>0.14000000000000001</v>
      </c>
      <c r="S17" s="26">
        <v>0.17</v>
      </c>
      <c r="T17" s="26">
        <v>0.75</v>
      </c>
      <c r="U17" s="26">
        <v>0.03</v>
      </c>
      <c r="AM17" s="18">
        <f t="shared" si="23"/>
        <v>-3.9929728226566402E-2</v>
      </c>
      <c r="AN17" s="19">
        <f t="shared" si="18"/>
        <v>-0.11180323903438592</v>
      </c>
      <c r="AO17" s="19">
        <f t="shared" si="19"/>
        <v>-0.13576107597032575</v>
      </c>
      <c r="AP17" s="19">
        <f t="shared" si="20"/>
        <v>-0.59894592339849595</v>
      </c>
      <c r="AQ17" s="20">
        <f t="shared" si="21"/>
        <v>-2.3957836935939836E-2</v>
      </c>
      <c r="AS17" s="18">
        <f t="shared" ref="AS17:AW17" si="26">($AH$11)*Q8</f>
        <v>2.7239604294548431E-2</v>
      </c>
      <c r="AT17" s="19">
        <f t="shared" si="26"/>
        <v>8.8748298179288879E-2</v>
      </c>
      <c r="AU17" s="19">
        <f t="shared" si="26"/>
        <v>0.15662901764221326</v>
      </c>
      <c r="AV17" s="19">
        <f t="shared" si="26"/>
        <v>0.18144114915761397</v>
      </c>
      <c r="AW17" s="20">
        <f t="shared" si="26"/>
        <v>4.0151539674452556E-2</v>
      </c>
    </row>
    <row r="18" spans="2:49" ht="27.75" customHeight="1" x14ac:dyDescent="0.25">
      <c r="K18" s="50">
        <v>0</v>
      </c>
      <c r="L18" s="50">
        <v>0</v>
      </c>
      <c r="M18" s="50">
        <v>0</v>
      </c>
      <c r="N18" s="50">
        <v>1</v>
      </c>
      <c r="O18" s="50">
        <v>0</v>
      </c>
      <c r="P18" s="2"/>
      <c r="Q18" s="26">
        <v>0.15</v>
      </c>
      <c r="R18" s="26">
        <v>0.13</v>
      </c>
      <c r="S18" s="26">
        <v>0.18</v>
      </c>
      <c r="T18" s="26">
        <v>0.95</v>
      </c>
      <c r="U18" s="26">
        <v>0.18</v>
      </c>
      <c r="AM18" s="21">
        <f t="shared" si="23"/>
        <v>-0.11978918467969918</v>
      </c>
      <c r="AN18" s="22">
        <f t="shared" si="18"/>
        <v>-0.10381729338907264</v>
      </c>
      <c r="AO18" s="22">
        <f t="shared" si="19"/>
        <v>-0.14374702161563901</v>
      </c>
      <c r="AP18" s="22">
        <f t="shared" si="20"/>
        <v>-0.75866483630476145</v>
      </c>
      <c r="AQ18" s="23">
        <f t="shared" si="21"/>
        <v>-0.14374702161563901</v>
      </c>
      <c r="AS18" s="21">
        <f t="shared" ref="AS18:AW18" si="27">($AH$11)*Q9</f>
        <v>6.6777711164430736E-2</v>
      </c>
      <c r="AT18" s="22">
        <f t="shared" si="27"/>
        <v>0.12081247064185457</v>
      </c>
      <c r="AU18" s="22">
        <f t="shared" si="27"/>
        <v>7.3377964106612403E-2</v>
      </c>
      <c r="AV18" s="22">
        <f t="shared" si="27"/>
        <v>0.10999411905080976</v>
      </c>
      <c r="AW18" s="23">
        <f t="shared" si="27"/>
        <v>0.15096214434096436</v>
      </c>
    </row>
    <row r="19" spans="2:49" ht="27.75" customHeight="1" x14ac:dyDescent="0.25"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3"/>
      <c r="AB19" s="53"/>
      <c r="AC19" s="53"/>
      <c r="AD19" s="53"/>
      <c r="AE19" s="53"/>
      <c r="AF19" s="52"/>
      <c r="AG19" s="53"/>
      <c r="AH19" s="53"/>
      <c r="AI19" s="53"/>
      <c r="AJ19" s="53"/>
      <c r="AK19" s="53"/>
      <c r="AL19" s="52"/>
      <c r="AM19" s="24">
        <f>-(1-$AH$11)</f>
        <v>-0.79859456453132793</v>
      </c>
      <c r="AN19" s="53"/>
      <c r="AO19" s="53"/>
      <c r="AP19" s="53"/>
      <c r="AQ19" s="53"/>
      <c r="AS19" s="24">
        <f>($AH$11)</f>
        <v>0.20140543546867204</v>
      </c>
      <c r="AT19" s="25"/>
      <c r="AU19" s="25"/>
      <c r="AV19" s="25"/>
      <c r="AW19" s="25"/>
    </row>
    <row r="20" spans="2:49" ht="27.75" hidden="1" customHeight="1" x14ac:dyDescent="0.25"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3"/>
      <c r="AB20" s="53"/>
      <c r="AC20" s="53"/>
      <c r="AD20" s="53"/>
      <c r="AE20" s="53"/>
      <c r="AF20" s="52"/>
      <c r="AG20" s="53"/>
      <c r="AH20" s="53"/>
      <c r="AI20" s="53"/>
      <c r="AJ20" s="53"/>
      <c r="AK20" s="53"/>
      <c r="AL20" s="52"/>
      <c r="AM20" s="52"/>
      <c r="AN20" s="52"/>
      <c r="AO20" s="52"/>
      <c r="AP20" s="52"/>
      <c r="AQ20" s="52"/>
    </row>
    <row r="21" spans="2:49" ht="27.75" hidden="1" customHeight="1" x14ac:dyDescent="0.25"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4">
        <v>0.41128929697885142</v>
      </c>
      <c r="AA21" s="55">
        <v>0.44197329884991299</v>
      </c>
      <c r="AB21" s="55">
        <v>0.41007353443902045</v>
      </c>
      <c r="AC21" s="55">
        <v>-0.41736514301051852</v>
      </c>
      <c r="AD21" s="56">
        <v>0.44272938938482576</v>
      </c>
      <c r="AE21" s="54">
        <v>-2.5055848627039468</v>
      </c>
      <c r="AF21" s="55">
        <v>2.0215794016578772</v>
      </c>
      <c r="AG21" s="55">
        <v>-0.14885172729530052</v>
      </c>
      <c r="AH21" s="55">
        <v>-0.78173354769516301</v>
      </c>
      <c r="AI21" s="56">
        <v>-1.3096636252575469</v>
      </c>
      <c r="AJ21" s="54">
        <v>0.47031212817187862</v>
      </c>
      <c r="AK21" s="55">
        <v>2.0573332080450117</v>
      </c>
      <c r="AL21" s="55">
        <v>-8.7603842786099409E-2</v>
      </c>
      <c r="AM21" s="55">
        <v>-0.34283660251617903</v>
      </c>
      <c r="AN21" s="56">
        <v>-0.78055317586794914</v>
      </c>
      <c r="AO21" s="52"/>
      <c r="AP21" s="52"/>
      <c r="AQ21" s="52"/>
    </row>
    <row r="22" spans="2:49" ht="27.75" hidden="1" customHeight="1" x14ac:dyDescent="0.25"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7">
        <v>0.3588261165685101</v>
      </c>
      <c r="AA22" s="58">
        <v>0.60941215636099277</v>
      </c>
      <c r="AB22" s="58">
        <v>0.48240134746387581</v>
      </c>
      <c r="AC22" s="58">
        <v>1.3223127910773842</v>
      </c>
      <c r="AD22" s="59">
        <v>0.2574254541824238</v>
      </c>
      <c r="AE22" s="57">
        <v>1.806863557588664</v>
      </c>
      <c r="AF22" s="58">
        <v>0.95586410230645436</v>
      </c>
      <c r="AG22" s="58">
        <v>1.1614762698651324</v>
      </c>
      <c r="AH22" s="58">
        <v>2.3335963758981038</v>
      </c>
      <c r="AI22" s="59">
        <v>-3.3965558483206787E-2</v>
      </c>
      <c r="AJ22" s="57">
        <v>-0.71743005752234135</v>
      </c>
      <c r="AK22" s="58">
        <v>-0.25234835452576593</v>
      </c>
      <c r="AL22" s="58">
        <v>1.3919798094718743</v>
      </c>
      <c r="AM22" s="58">
        <v>0.23161286956202831</v>
      </c>
      <c r="AN22" s="59">
        <v>-1.645380345424365</v>
      </c>
      <c r="AO22" s="52"/>
      <c r="AP22" s="52"/>
      <c r="AQ22" s="52"/>
    </row>
    <row r="23" spans="2:49" ht="27.75" hidden="1" customHeight="1" x14ac:dyDescent="0.25"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7">
        <v>-0.38023831014683002</v>
      </c>
      <c r="AA23" s="58">
        <v>0.30259081033329477</v>
      </c>
      <c r="AB23" s="58">
        <v>-0.56871829144754782</v>
      </c>
      <c r="AC23" s="58">
        <v>1.8699089678427721</v>
      </c>
      <c r="AD23" s="59">
        <v>0.65163719671940146</v>
      </c>
      <c r="AE23" s="57">
        <v>-0.22595628061522094</v>
      </c>
      <c r="AF23" s="58">
        <v>1.228360266726328</v>
      </c>
      <c r="AG23" s="58">
        <v>0.49981316896654981</v>
      </c>
      <c r="AH23" s="58">
        <v>-0.89770701115845142</v>
      </c>
      <c r="AI23" s="59">
        <v>0.48226228784070257</v>
      </c>
      <c r="AJ23" s="57">
        <v>-0.31086082730726117</v>
      </c>
      <c r="AK23" s="58">
        <v>0.36136178642811817</v>
      </c>
      <c r="AL23" s="58">
        <v>1.31764851130334</v>
      </c>
      <c r="AM23" s="58">
        <v>0.71096183011425707</v>
      </c>
      <c r="AN23" s="59">
        <v>1.1738788567285085E-2</v>
      </c>
      <c r="AO23" s="52"/>
      <c r="AP23" s="52"/>
      <c r="AQ23" s="52"/>
    </row>
    <row r="24" spans="2:49" ht="27.75" hidden="1" customHeight="1" x14ac:dyDescent="0.25"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7">
        <v>0.71367819700093371</v>
      </c>
      <c r="AA24" s="58">
        <v>0.5811634503555082</v>
      </c>
      <c r="AB24" s="58">
        <v>-0.99394897643444946</v>
      </c>
      <c r="AC24" s="58">
        <v>-2.3558389454342805</v>
      </c>
      <c r="AD24" s="59">
        <v>0.34208628982976358</v>
      </c>
      <c r="AE24" s="57">
        <v>-1.4342658072984777</v>
      </c>
      <c r="AF24" s="58">
        <v>0.10434166547074236</v>
      </c>
      <c r="AG24" s="58">
        <v>0.66576855510986499</v>
      </c>
      <c r="AH24" s="58">
        <v>0.81704138338185672</v>
      </c>
      <c r="AI24" s="59">
        <v>-1.1884884166350198</v>
      </c>
      <c r="AJ24" s="57">
        <v>-0.9882264998279835</v>
      </c>
      <c r="AK24" s="58">
        <v>-0.37000020545812445</v>
      </c>
      <c r="AL24" s="58">
        <v>-2.1336864928378563</v>
      </c>
      <c r="AM24" s="58">
        <v>-1.4046349751331388</v>
      </c>
      <c r="AN24" s="59">
        <v>-0.88494376915324635</v>
      </c>
      <c r="AO24" s="52"/>
      <c r="AP24" s="52"/>
      <c r="AQ24" s="52"/>
    </row>
    <row r="25" spans="2:49" ht="27.75" hidden="1" customHeight="1" x14ac:dyDescent="0.25"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60">
        <v>0.53774298387442176</v>
      </c>
      <c r="AA25" s="61">
        <v>-1.1744301121049299</v>
      </c>
      <c r="AB25" s="61">
        <v>0.17866532095676851</v>
      </c>
      <c r="AC25" s="61">
        <v>-1.4733627908476239</v>
      </c>
      <c r="AD25" s="62">
        <v>-3.6022689037327159E-2</v>
      </c>
      <c r="AE25" s="60">
        <v>-0.38387565136824964</v>
      </c>
      <c r="AF25" s="61">
        <v>-0.2880856128551928</v>
      </c>
      <c r="AG25" s="61">
        <v>-0.45120864752833423</v>
      </c>
      <c r="AH25" s="61">
        <v>-0.6842264282189966</v>
      </c>
      <c r="AI25" s="62">
        <v>1.0749259617871105</v>
      </c>
      <c r="AJ25" s="60">
        <v>-1.6105969708990053</v>
      </c>
      <c r="AK25" s="61">
        <v>-0.12396572238481245</v>
      </c>
      <c r="AL25" s="61">
        <v>-1.6251435075415768</v>
      </c>
      <c r="AM25" s="61">
        <v>0.70745514771161067</v>
      </c>
      <c r="AN25" s="62">
        <v>-7.4000553805756236E-2</v>
      </c>
      <c r="AO25" s="52"/>
      <c r="AP25" s="52"/>
      <c r="AQ25" s="52"/>
    </row>
    <row r="26" spans="2:49" ht="27.75" hidden="1" customHeight="1" x14ac:dyDescent="0.25"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3"/>
      <c r="AC26" s="53"/>
      <c r="AD26" s="53"/>
      <c r="AE26" s="53"/>
      <c r="AF26" s="53"/>
      <c r="AG26" s="53"/>
      <c r="AH26" s="53"/>
      <c r="AI26" s="53"/>
      <c r="AJ26" s="26">
        <v>0.61148735032000223</v>
      </c>
      <c r="AK26" s="53"/>
      <c r="AL26" s="53"/>
      <c r="AM26" s="52"/>
      <c r="AN26" s="52"/>
      <c r="AO26" s="52"/>
      <c r="AP26" s="52"/>
      <c r="AQ26" s="52"/>
    </row>
    <row r="27" spans="2:49" ht="27.75" hidden="1" customHeight="1" x14ac:dyDescent="0.25">
      <c r="B27" s="52"/>
      <c r="C27" s="52"/>
      <c r="D27" s="52"/>
      <c r="E27" s="52"/>
      <c r="F27" s="52"/>
      <c r="G27" s="52"/>
      <c r="H27" s="52"/>
      <c r="I27" s="52"/>
      <c r="J27" s="63"/>
      <c r="K27" s="63"/>
      <c r="L27" s="63"/>
      <c r="M27" s="63"/>
      <c r="N27" s="63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</row>
    <row r="28" spans="2:49" ht="27.75" hidden="1" customHeight="1" x14ac:dyDescent="0.25">
      <c r="B28" s="52"/>
      <c r="C28" s="52"/>
      <c r="D28" s="52"/>
      <c r="E28" s="52"/>
      <c r="F28" s="52"/>
      <c r="G28" s="52"/>
      <c r="H28" s="52"/>
      <c r="I28" s="52"/>
      <c r="J28" s="63"/>
      <c r="K28" s="63"/>
      <c r="L28" s="63"/>
      <c r="M28" s="63"/>
      <c r="N28" s="63"/>
      <c r="O28" s="52"/>
      <c r="P28" s="52"/>
      <c r="Q28" s="52"/>
      <c r="R28" s="52"/>
      <c r="S28" s="52"/>
      <c r="T28" s="52"/>
      <c r="U28" s="64">
        <f t="shared" ref="U28:Y32" ca="1" si="28">IF(K14=0,RANDBETWEEN(0,20)/100,RANDBETWEEN(75,100)/100)</f>
        <v>0.1</v>
      </c>
      <c r="V28" s="65">
        <f t="shared" ca="1" si="28"/>
        <v>0.87</v>
      </c>
      <c r="W28" s="65">
        <f t="shared" ca="1" si="28"/>
        <v>0</v>
      </c>
      <c r="X28" s="65">
        <f t="shared" ca="1" si="28"/>
        <v>0.8</v>
      </c>
      <c r="Y28" s="66">
        <f t="shared" ca="1" si="28"/>
        <v>0.11</v>
      </c>
      <c r="Z28" s="67">
        <f t="shared" ref="Z28:AD32" si="29">E5-$AN$2*AM5</f>
        <v>0.40502213870929787</v>
      </c>
      <c r="AA28" s="68">
        <f t="shared" si="29"/>
        <v>0.38130579574860046</v>
      </c>
      <c r="AB28" s="68">
        <f t="shared" si="29"/>
        <v>0.41504099618415952</v>
      </c>
      <c r="AC28" s="68">
        <f t="shared" si="29"/>
        <v>-0.39855433914869609</v>
      </c>
      <c r="AD28" s="68">
        <f t="shared" si="29"/>
        <v>0.46892890703677492</v>
      </c>
      <c r="AE28" s="67">
        <f t="shared" ref="AE28:AI32" si="30">K5-$AN$2*AS5</f>
        <v>-2.4949625605521613</v>
      </c>
      <c r="AF28" s="68">
        <f t="shared" si="30"/>
        <v>2.1244056781007798</v>
      </c>
      <c r="AG28" s="68">
        <f t="shared" si="30"/>
        <v>-0.15727115398197694</v>
      </c>
      <c r="AH28" s="68">
        <f t="shared" si="30"/>
        <v>-0.81361626610503157</v>
      </c>
      <c r="AI28" s="69">
        <f t="shared" si="30"/>
        <v>-1.3540695873794946</v>
      </c>
      <c r="AJ28" s="64">
        <f>IF($X$15=1,AA9-$AN$2*AM14,AA9-$AN$2*AS14)</f>
        <v>0.46425125338006851</v>
      </c>
      <c r="AK28" s="65">
        <f t="shared" ref="AK28:AN28" si="31">IF($X$15=1,AB9-$AN$2*AN14,AB9-$AN$2*AT14)</f>
        <v>1.9714023984387161</v>
      </c>
      <c r="AL28" s="68">
        <f t="shared" si="31"/>
        <v>-0.12823999841711026</v>
      </c>
      <c r="AM28" s="68">
        <f t="shared" si="31"/>
        <v>-0.38001985094541157</v>
      </c>
      <c r="AN28" s="69">
        <f t="shared" si="31"/>
        <v>-0.79788329153396065</v>
      </c>
      <c r="AO28" s="52"/>
      <c r="AP28" s="52"/>
      <c r="AQ28" s="52"/>
    </row>
    <row r="29" spans="2:49" ht="27.75" hidden="1" customHeight="1" x14ac:dyDescent="0.25">
      <c r="B29" s="52"/>
      <c r="C29" s="52"/>
      <c r="D29" s="52"/>
      <c r="E29" s="52"/>
      <c r="F29" s="52"/>
      <c r="G29" s="52"/>
      <c r="H29" s="52"/>
      <c r="I29" s="52"/>
      <c r="J29" s="63"/>
      <c r="K29" s="63"/>
      <c r="L29" s="63"/>
      <c r="M29" s="63"/>
      <c r="N29" s="63"/>
      <c r="O29" s="52"/>
      <c r="P29" s="52"/>
      <c r="Q29" s="52"/>
      <c r="R29" s="52"/>
      <c r="S29" s="52"/>
      <c r="T29" s="52"/>
      <c r="U29" s="70">
        <f t="shared" ca="1" si="28"/>
        <v>0</v>
      </c>
      <c r="V29" s="71">
        <f t="shared" ca="1" si="28"/>
        <v>0.98</v>
      </c>
      <c r="W29" s="71">
        <f t="shared" ca="1" si="28"/>
        <v>0.19</v>
      </c>
      <c r="X29" s="71">
        <f t="shared" ca="1" si="28"/>
        <v>0.75</v>
      </c>
      <c r="Y29" s="72">
        <f t="shared" ca="1" si="28"/>
        <v>0.06</v>
      </c>
      <c r="Z29" s="73">
        <f t="shared" si="29"/>
        <v>0.38252446548048424</v>
      </c>
      <c r="AA29" s="74">
        <f t="shared" si="29"/>
        <v>0.62302786721474579</v>
      </c>
      <c r="AB29" s="74">
        <f t="shared" si="29"/>
        <v>0.41435797454778112</v>
      </c>
      <c r="AC29" s="74">
        <f t="shared" si="29"/>
        <v>1.3144495350684178</v>
      </c>
      <c r="AD29" s="74">
        <f t="shared" si="29"/>
        <v>0.35350037723381528</v>
      </c>
      <c r="AE29" s="73">
        <f t="shared" si="30"/>
        <v>1.7666968645175214</v>
      </c>
      <c r="AF29" s="74">
        <f t="shared" si="30"/>
        <v>0.93278662628314413</v>
      </c>
      <c r="AG29" s="74">
        <f t="shared" si="30"/>
        <v>1.2768040205703777</v>
      </c>
      <c r="AH29" s="74">
        <f t="shared" si="30"/>
        <v>2.346923928455674</v>
      </c>
      <c r="AI29" s="75">
        <f t="shared" si="30"/>
        <v>-0.19680441111268385</v>
      </c>
      <c r="AJ29" s="70">
        <f t="shared" ref="AJ29:AN29" si="32">IF($X$15=1,AA10-$AN$2*AM15,AA10-$AN$2*AS15)</f>
        <v>-0.80114828518736658</v>
      </c>
      <c r="AK29" s="71">
        <f t="shared" si="32"/>
        <v>-0.31728266048593762</v>
      </c>
      <c r="AL29" s="74">
        <f t="shared" si="32"/>
        <v>1.3208664701158024</v>
      </c>
      <c r="AM29" s="74">
        <f t="shared" si="32"/>
        <v>0.14849195592811665</v>
      </c>
      <c r="AN29" s="75">
        <f t="shared" si="32"/>
        <v>-1.6910663108845523</v>
      </c>
      <c r="AO29" s="52"/>
      <c r="AP29" s="52"/>
      <c r="AQ29" s="52"/>
    </row>
    <row r="30" spans="2:49" ht="27.75" hidden="1" customHeight="1" x14ac:dyDescent="0.25">
      <c r="B30" s="52"/>
      <c r="C30" s="52"/>
      <c r="D30" s="52"/>
      <c r="E30" s="52"/>
      <c r="F30" s="52"/>
      <c r="G30" s="52"/>
      <c r="H30" s="52"/>
      <c r="I30" s="52"/>
      <c r="J30" s="63"/>
      <c r="K30" s="63"/>
      <c r="L30" s="63"/>
      <c r="M30" s="63"/>
      <c r="N30" s="63"/>
      <c r="O30" s="52"/>
      <c r="P30" s="52"/>
      <c r="Q30" s="52"/>
      <c r="R30" s="52"/>
      <c r="S30" s="52"/>
      <c r="T30" s="52"/>
      <c r="U30" s="70">
        <f t="shared" ca="1" si="28"/>
        <v>0.2</v>
      </c>
      <c r="V30" s="71">
        <f t="shared" ca="1" si="28"/>
        <v>0.94</v>
      </c>
      <c r="W30" s="71">
        <f t="shared" ca="1" si="28"/>
        <v>0.78</v>
      </c>
      <c r="X30" s="71">
        <f t="shared" ca="1" si="28"/>
        <v>1</v>
      </c>
      <c r="Y30" s="72">
        <f t="shared" ca="1" si="28"/>
        <v>0.18</v>
      </c>
      <c r="Z30" s="73">
        <f t="shared" si="29"/>
        <v>-0.36192975427783097</v>
      </c>
      <c r="AA30" s="74">
        <f t="shared" si="29"/>
        <v>0.28624188923450461</v>
      </c>
      <c r="AB30" s="74">
        <f t="shared" si="29"/>
        <v>-0.63421636978982654</v>
      </c>
      <c r="AC30" s="74">
        <f t="shared" si="29"/>
        <v>1.8523361233588957</v>
      </c>
      <c r="AD30" s="74">
        <f t="shared" si="29"/>
        <v>0.65094747538949649</v>
      </c>
      <c r="AE30" s="73">
        <f t="shared" si="30"/>
        <v>-0.256987731240643</v>
      </c>
      <c r="AF30" s="74">
        <f t="shared" si="30"/>
        <v>1.2560703024869893</v>
      </c>
      <c r="AG30" s="74">
        <f t="shared" si="30"/>
        <v>0.61082686107210704</v>
      </c>
      <c r="AH30" s="74">
        <f t="shared" si="30"/>
        <v>-0.86792252898238997</v>
      </c>
      <c r="AI30" s="75">
        <f t="shared" si="30"/>
        <v>0.48343130704393139</v>
      </c>
      <c r="AJ30" s="70">
        <f t="shared" ref="AJ30:AN30" si="33">IF($X$15=1,AA11-$AN$2*AM16,AA11-$AN$2*AS16)</f>
        <v>-0.36117151040123213</v>
      </c>
      <c r="AK30" s="71">
        <f t="shared" si="33"/>
        <v>0.28676699573540365</v>
      </c>
      <c r="AL30" s="74">
        <f t="shared" si="33"/>
        <v>1.2474097313997581</v>
      </c>
      <c r="AM30" s="74">
        <f t="shared" si="33"/>
        <v>0.69896784764324627</v>
      </c>
      <c r="AN30" s="75">
        <f t="shared" si="33"/>
        <v>-4.1072699214433822E-2</v>
      </c>
      <c r="AO30" s="52"/>
      <c r="AP30" s="52"/>
      <c r="AQ30" s="52"/>
    </row>
    <row r="31" spans="2:49" ht="27.75" hidden="1" customHeight="1" x14ac:dyDescent="0.25">
      <c r="B31" s="52"/>
      <c r="C31" s="52"/>
      <c r="D31" s="52"/>
      <c r="E31" s="52"/>
      <c r="F31" s="52"/>
      <c r="G31" s="52"/>
      <c r="H31" s="52"/>
      <c r="I31" s="52"/>
      <c r="J31" s="63"/>
      <c r="K31" s="63"/>
      <c r="L31" s="63"/>
      <c r="M31" s="63"/>
      <c r="N31" s="63"/>
      <c r="O31" s="52"/>
      <c r="P31" s="52"/>
      <c r="Q31" s="52"/>
      <c r="R31" s="52"/>
      <c r="S31" s="52"/>
      <c r="T31" s="52"/>
      <c r="U31" s="70">
        <f t="shared" ca="1" si="28"/>
        <v>0.09</v>
      </c>
      <c r="V31" s="71">
        <f t="shared" ca="1" si="28"/>
        <v>0.05</v>
      </c>
      <c r="W31" s="71">
        <f t="shared" ca="1" si="28"/>
        <v>0</v>
      </c>
      <c r="X31" s="71">
        <f t="shared" ca="1" si="28"/>
        <v>0.91</v>
      </c>
      <c r="Y31" s="72">
        <f t="shared" ca="1" si="28"/>
        <v>0.01</v>
      </c>
      <c r="Z31" s="73">
        <f t="shared" si="29"/>
        <v>0.74090685509299836</v>
      </c>
      <c r="AA31" s="74">
        <f t="shared" si="29"/>
        <v>0.60264802215173396</v>
      </c>
      <c r="AB31" s="74">
        <f t="shared" si="29"/>
        <v>-0.90704129365405528</v>
      </c>
      <c r="AC31" s="74">
        <f t="shared" si="29"/>
        <v>-2.3262888391438521</v>
      </c>
      <c r="AD31" s="74">
        <f t="shared" si="29"/>
        <v>0.37536251750476546</v>
      </c>
      <c r="AE31" s="73">
        <f t="shared" si="30"/>
        <v>-1.4804160752511297</v>
      </c>
      <c r="AF31" s="74">
        <f t="shared" si="30"/>
        <v>6.7927137002563184E-2</v>
      </c>
      <c r="AG31" s="74">
        <f t="shared" si="30"/>
        <v>0.51846739785495954</v>
      </c>
      <c r="AH31" s="74">
        <f t="shared" si="30"/>
        <v>0.7669564574658766</v>
      </c>
      <c r="AI31" s="75">
        <f t="shared" si="30"/>
        <v>-1.2448888025248535</v>
      </c>
      <c r="AJ31" s="70">
        <f t="shared" ref="AJ31:AN31" si="34">IF($X$15=1,AA12-$AN$2*AM17,AA12-$AN$2*AS17)</f>
        <v>-1.0018463019752577</v>
      </c>
      <c r="AK31" s="71">
        <f t="shared" si="34"/>
        <v>-0.41437435454776889</v>
      </c>
      <c r="AL31" s="74">
        <f t="shared" si="34"/>
        <v>-2.2120010016589631</v>
      </c>
      <c r="AM31" s="74">
        <f t="shared" si="34"/>
        <v>-1.4953555497119457</v>
      </c>
      <c r="AN31" s="75">
        <f t="shared" si="34"/>
        <v>-0.90501953899047261</v>
      </c>
      <c r="AO31" s="52"/>
      <c r="AP31" s="52"/>
      <c r="AQ31" s="52"/>
    </row>
    <row r="32" spans="2:49" ht="27.75" hidden="1" customHeight="1" x14ac:dyDescent="0.25"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76">
        <f t="shared" ca="1" si="28"/>
        <v>0.02</v>
      </c>
      <c r="V32" s="77">
        <f t="shared" ca="1" si="28"/>
        <v>0.2</v>
      </c>
      <c r="W32" s="77">
        <f t="shared" ca="1" si="28"/>
        <v>0.13</v>
      </c>
      <c r="X32" s="77">
        <f t="shared" ca="1" si="28"/>
        <v>0.8</v>
      </c>
      <c r="Y32" s="78">
        <f t="shared" ca="1" si="28"/>
        <v>0</v>
      </c>
      <c r="Z32" s="79">
        <f t="shared" si="29"/>
        <v>0.6218358014418216</v>
      </c>
      <c r="AA32" s="80">
        <f t="shared" si="29"/>
        <v>-1.1674201365091683</v>
      </c>
      <c r="AB32" s="80">
        <f t="shared" si="29"/>
        <v>0.26733324386637064</v>
      </c>
      <c r="AC32" s="80">
        <f t="shared" si="29"/>
        <v>-1.5146746111996741</v>
      </c>
      <c r="AD32" s="80">
        <f t="shared" si="29"/>
        <v>-3.2749942048264001E-2</v>
      </c>
      <c r="AE32" s="79">
        <f t="shared" si="30"/>
        <v>-0.52640585063502909</v>
      </c>
      <c r="AF32" s="80">
        <f t="shared" si="30"/>
        <v>-0.29996692742428022</v>
      </c>
      <c r="AG32" s="80">
        <f t="shared" si="30"/>
        <v>-0.60149326262935476</v>
      </c>
      <c r="AH32" s="80">
        <f t="shared" si="30"/>
        <v>-0.6142063937239961</v>
      </c>
      <c r="AI32" s="81">
        <f t="shared" si="30"/>
        <v>1.0693789329920882</v>
      </c>
      <c r="AJ32" s="79">
        <f t="shared" ref="AJ32:AN32" si="35">IF($X$15=1,AA13-$AN$2*AM18,AA13-$AN$2*AS18)</f>
        <v>-1.6439858264812206</v>
      </c>
      <c r="AK32" s="80">
        <f t="shared" si="35"/>
        <v>-0.18437195770573972</v>
      </c>
      <c r="AL32" s="80">
        <f t="shared" si="35"/>
        <v>-1.6618324895948831</v>
      </c>
      <c r="AM32" s="80">
        <f t="shared" si="35"/>
        <v>0.65245808818620576</v>
      </c>
      <c r="AN32" s="81">
        <f t="shared" si="35"/>
        <v>-0.14948162597623843</v>
      </c>
      <c r="AO32" s="52"/>
      <c r="AP32" s="52"/>
      <c r="AQ32" s="52"/>
    </row>
    <row r="33" spans="2:43" ht="27.75" hidden="1" customHeight="1" x14ac:dyDescent="0.25"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82">
        <f t="shared" ref="AJ33" si="36">IF($X$15=1,AA14-$AN$2*AM19,AA14-$AN$2*AS19)</f>
        <v>0.5107846325856662</v>
      </c>
      <c r="AK33" s="52"/>
      <c r="AL33" s="52"/>
      <c r="AM33" s="52"/>
      <c r="AN33" s="52"/>
      <c r="AO33" s="52"/>
      <c r="AP33" s="52"/>
      <c r="AQ33" s="52"/>
    </row>
    <row r="34" spans="2:43" ht="27.75" hidden="1" customHeight="1" x14ac:dyDescent="0.25"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</row>
    <row r="35" spans="2:43" ht="27.75" hidden="1" customHeight="1" x14ac:dyDescent="0.25">
      <c r="Y35" s="46">
        <f ca="1">RANDBETWEEN(-1000,1000)/1000</f>
        <v>0.72899999999999998</v>
      </c>
      <c r="Z35" s="37">
        <f ca="1">_xlfn.NORM.INV(RAND(),0,1)</f>
        <v>-0.55163816603187776</v>
      </c>
      <c r="AA35" s="38">
        <f t="shared" ref="AA35:AD39" ca="1" si="37">_xlfn.NORM.INV(RAND(),0,1)</f>
        <v>-0.5062871609947851</v>
      </c>
      <c r="AB35" s="38">
        <f t="shared" ca="1" si="37"/>
        <v>-2.0018189666378454</v>
      </c>
      <c r="AC35" s="38">
        <f t="shared" ca="1" si="37"/>
        <v>1.8390170116651157</v>
      </c>
      <c r="AD35" s="39">
        <f t="shared" ca="1" si="37"/>
        <v>0.56326847291514004</v>
      </c>
      <c r="AE35" s="37">
        <f ca="1">_xlfn.NORM.INV(RAND(),0,1)</f>
        <v>-0.10248207187206945</v>
      </c>
      <c r="AF35" s="38">
        <f t="shared" ref="AF35:AI39" ca="1" si="38">_xlfn.NORM.INV(RAND(),0,1)</f>
        <v>1.9296795812269212E-2</v>
      </c>
      <c r="AG35" s="38">
        <f t="shared" ca="1" si="38"/>
        <v>0.6313817662399096</v>
      </c>
      <c r="AH35" s="38">
        <f t="shared" ca="1" si="38"/>
        <v>-0.21228517436757635</v>
      </c>
      <c r="AI35" s="39">
        <f t="shared" ca="1" si="38"/>
        <v>0.41997402089274943</v>
      </c>
      <c r="AJ35" s="37">
        <f ca="1">_xlfn.NORM.INV(RAND(),0,1)</f>
        <v>-1.3005704693046873</v>
      </c>
      <c r="AK35" s="38">
        <f t="shared" ref="AK35:AN39" ca="1" si="39">_xlfn.NORM.INV(RAND(),0,1)</f>
        <v>-0.34062352144303493</v>
      </c>
      <c r="AL35" s="38">
        <f t="shared" ca="1" si="39"/>
        <v>0.47452528250061043</v>
      </c>
      <c r="AM35" s="38">
        <f t="shared" ca="1" si="39"/>
        <v>0.69331104945612376</v>
      </c>
      <c r="AN35" s="39">
        <f t="shared" ca="1" si="39"/>
        <v>0.91265497827284203</v>
      </c>
    </row>
    <row r="36" spans="2:43" ht="27.75" hidden="1" customHeight="1" x14ac:dyDescent="0.25">
      <c r="Z36" s="40">
        <f ca="1">_xlfn.NORM.INV(RAND(),0,1)</f>
        <v>1.5013238646332328E-2</v>
      </c>
      <c r="AA36" s="41">
        <f t="shared" ca="1" si="37"/>
        <v>0.71615178107074251</v>
      </c>
      <c r="AB36" s="41">
        <f t="shared" ca="1" si="37"/>
        <v>-1.7610945013273096</v>
      </c>
      <c r="AC36" s="41">
        <f t="shared" ca="1" si="37"/>
        <v>-2.5543170409039733</v>
      </c>
      <c r="AD36" s="42">
        <f t="shared" ca="1" si="37"/>
        <v>-1.3506416565184152</v>
      </c>
      <c r="AE36" s="40">
        <f t="shared" ref="AE36:AE39" ca="1" si="40">_xlfn.NORM.INV(RAND(),0,1)</f>
        <v>-0.44904043077935923</v>
      </c>
      <c r="AF36" s="41">
        <f t="shared" ca="1" si="38"/>
        <v>-1.508019596700042</v>
      </c>
      <c r="AG36" s="41">
        <f t="shared" ca="1" si="38"/>
        <v>0.56915572444393681</v>
      </c>
      <c r="AH36" s="41">
        <f t="shared" ca="1" si="38"/>
        <v>-0.24508172892825086</v>
      </c>
      <c r="AI36" s="42">
        <f t="shared" ca="1" si="38"/>
        <v>-1.995660564688311</v>
      </c>
      <c r="AJ36" s="40">
        <f t="shared" ref="AJ36:AJ40" ca="1" si="41">_xlfn.NORM.INV(RAND(),0,1)</f>
        <v>-0.9665791282532602</v>
      </c>
      <c r="AK36" s="41">
        <f t="shared" ca="1" si="39"/>
        <v>-1.4274502305799359</v>
      </c>
      <c r="AL36" s="41">
        <f t="shared" ca="1" si="39"/>
        <v>-0.54220407337236831</v>
      </c>
      <c r="AM36" s="41">
        <f t="shared" ca="1" si="39"/>
        <v>-0.45038821570469645</v>
      </c>
      <c r="AN36" s="42">
        <f t="shared" ca="1" si="39"/>
        <v>4.6372520845497693E-2</v>
      </c>
    </row>
    <row r="37" spans="2:43" ht="27.75" hidden="1" customHeight="1" x14ac:dyDescent="0.25">
      <c r="Z37" s="40">
        <f ca="1">_xlfn.NORM.INV(RAND(),0,1)</f>
        <v>-0.36131765343423949</v>
      </c>
      <c r="AA37" s="41">
        <f t="shared" ca="1" si="37"/>
        <v>0.43588763904914524</v>
      </c>
      <c r="AB37" s="41">
        <f t="shared" ca="1" si="37"/>
        <v>2.0771811527279627</v>
      </c>
      <c r="AC37" s="41">
        <f t="shared" ca="1" si="37"/>
        <v>2.0515722475675156E-2</v>
      </c>
      <c r="AD37" s="42">
        <f t="shared" ca="1" si="37"/>
        <v>-0.68003777110549501</v>
      </c>
      <c r="AE37" s="40">
        <f t="shared" ca="1" si="40"/>
        <v>-3.4353253635318555</v>
      </c>
      <c r="AF37" s="41">
        <f t="shared" ca="1" si="38"/>
        <v>0.39561134002001797</v>
      </c>
      <c r="AG37" s="41">
        <f t="shared" ca="1" si="38"/>
        <v>7.0857802129651801E-2</v>
      </c>
      <c r="AH37" s="41">
        <f t="shared" ca="1" si="38"/>
        <v>-0.16366664102711881</v>
      </c>
      <c r="AI37" s="42">
        <f t="shared" ca="1" si="38"/>
        <v>8.8999070791243237E-2</v>
      </c>
      <c r="AJ37" s="40">
        <f t="shared" ca="1" si="41"/>
        <v>0.66874195036316053</v>
      </c>
      <c r="AK37" s="41">
        <f t="shared" ca="1" si="39"/>
        <v>-0.80415300959179847</v>
      </c>
      <c r="AL37" s="41">
        <f t="shared" ca="1" si="39"/>
        <v>-0.94812041469141684</v>
      </c>
      <c r="AM37" s="41">
        <f t="shared" ca="1" si="39"/>
        <v>0.11636908071437892</v>
      </c>
      <c r="AN37" s="42">
        <f t="shared" ca="1" si="39"/>
        <v>0.55083457871252395</v>
      </c>
    </row>
    <row r="38" spans="2:43" ht="27.75" hidden="1" customHeight="1" x14ac:dyDescent="0.25">
      <c r="Z38" s="40">
        <f ca="1">_xlfn.NORM.INV(RAND(),0,1)</f>
        <v>2.4010869210427166</v>
      </c>
      <c r="AA38" s="41">
        <f t="shared" ca="1" si="37"/>
        <v>-0.84687413038482851</v>
      </c>
      <c r="AB38" s="41">
        <f t="shared" ca="1" si="37"/>
        <v>-0.79776409153819483</v>
      </c>
      <c r="AC38" s="41">
        <f t="shared" ca="1" si="37"/>
        <v>-0.35269031049002764</v>
      </c>
      <c r="AD38" s="42">
        <f t="shared" ca="1" si="37"/>
        <v>-7.7885605486066101E-2</v>
      </c>
      <c r="AE38" s="40">
        <f t="shared" ca="1" si="40"/>
        <v>0.94089138930600535</v>
      </c>
      <c r="AF38" s="41">
        <f t="shared" ca="1" si="38"/>
        <v>0.84863449083295328</v>
      </c>
      <c r="AG38" s="41">
        <f t="shared" ca="1" si="38"/>
        <v>-1.1706670053053019</v>
      </c>
      <c r="AH38" s="41">
        <f t="shared" ca="1" si="38"/>
        <v>0.32999882164105898</v>
      </c>
      <c r="AI38" s="42">
        <f t="shared" ca="1" si="38"/>
        <v>-1.4305726837167194</v>
      </c>
      <c r="AJ38" s="40">
        <f t="shared" ca="1" si="41"/>
        <v>1.0999024619944473</v>
      </c>
      <c r="AK38" s="41">
        <f t="shared" ca="1" si="39"/>
        <v>0.75888600703364195</v>
      </c>
      <c r="AL38" s="41">
        <f t="shared" ca="1" si="39"/>
        <v>-0.16559908472824283</v>
      </c>
      <c r="AM38" s="41">
        <f t="shared" ca="1" si="39"/>
        <v>0.61445358418479279</v>
      </c>
      <c r="AN38" s="42">
        <f t="shared" ca="1" si="39"/>
        <v>0.30900647501388773</v>
      </c>
    </row>
    <row r="39" spans="2:43" ht="27.75" hidden="1" customHeight="1" x14ac:dyDescent="0.25">
      <c r="Z39" s="43">
        <f ca="1">_xlfn.NORM.INV(RAND(),0,1)</f>
        <v>0.51168920628204695</v>
      </c>
      <c r="AA39" s="44">
        <f t="shared" ca="1" si="37"/>
        <v>0.17684199029455164</v>
      </c>
      <c r="AB39" s="44">
        <f t="shared" ca="1" si="37"/>
        <v>3.6098500893806562E-2</v>
      </c>
      <c r="AC39" s="44">
        <f t="shared" ca="1" si="37"/>
        <v>-2.1074058552962081</v>
      </c>
      <c r="AD39" s="45">
        <f t="shared" ca="1" si="37"/>
        <v>-0.13918728805499397</v>
      </c>
      <c r="AE39" s="43">
        <f t="shared" ca="1" si="40"/>
        <v>0.54923385247621381</v>
      </c>
      <c r="AF39" s="44">
        <f t="shared" ca="1" si="38"/>
        <v>-0.7072702207292354</v>
      </c>
      <c r="AG39" s="44">
        <f t="shared" ca="1" si="38"/>
        <v>-1.3018893710365178</v>
      </c>
      <c r="AH39" s="44">
        <f t="shared" ca="1" si="38"/>
        <v>-1.2429372327606267</v>
      </c>
      <c r="AI39" s="45">
        <f t="shared" ca="1" si="38"/>
        <v>-0.96232246071465222</v>
      </c>
      <c r="AJ39" s="43">
        <f t="shared" ca="1" si="41"/>
        <v>1.9408949651877798</v>
      </c>
      <c r="AK39" s="44">
        <f t="shared" ca="1" si="39"/>
        <v>0.11531523887901279</v>
      </c>
      <c r="AL39" s="44">
        <f t="shared" ca="1" si="39"/>
        <v>1.5708126820859261</v>
      </c>
      <c r="AM39" s="44">
        <f t="shared" ca="1" si="39"/>
        <v>-1.1745721533813314</v>
      </c>
      <c r="AN39" s="45">
        <f t="shared" ca="1" si="39"/>
        <v>1.9668927687896058</v>
      </c>
    </row>
    <row r="40" spans="2:43" ht="27.75" hidden="1" customHeight="1" x14ac:dyDescent="0.25">
      <c r="AJ40" s="47">
        <f t="shared" ca="1" si="41"/>
        <v>-0.10490214907908044</v>
      </c>
    </row>
    <row r="41" spans="2:43" ht="27.75" customHeight="1" x14ac:dyDescent="0.25"/>
    <row r="42" spans="2:43" ht="27.75" customHeight="1" x14ac:dyDescent="0.25"/>
    <row r="43" spans="2:43" ht="27.75" customHeight="1" x14ac:dyDescent="0.25"/>
    <row r="44" spans="2:43" ht="27.75" customHeight="1" x14ac:dyDescent="0.25"/>
    <row r="45" spans="2:43" ht="27.75" customHeight="1" x14ac:dyDescent="0.25"/>
    <row r="46" spans="2:43" ht="27.75" customHeight="1" x14ac:dyDescent="0.25"/>
    <row r="47" spans="2:43" ht="27.75" customHeight="1" x14ac:dyDescent="0.25"/>
    <row r="48" spans="2:43" ht="27.75" customHeight="1" x14ac:dyDescent="0.25"/>
    <row r="49" ht="27.75" customHeight="1" x14ac:dyDescent="0.25"/>
    <row r="50" ht="27.75" customHeight="1" x14ac:dyDescent="0.25"/>
    <row r="51" ht="27.75" customHeight="1" x14ac:dyDescent="0.25"/>
    <row r="52" ht="27.75" customHeight="1" x14ac:dyDescent="0.25"/>
    <row r="53" ht="27.75" customHeight="1" x14ac:dyDescent="0.25"/>
    <row r="54" ht="27.75" customHeight="1" x14ac:dyDescent="0.25"/>
    <row r="55" ht="27.75" customHeight="1" x14ac:dyDescent="0.25"/>
    <row r="56" ht="27.75" customHeight="1" x14ac:dyDescent="0.25"/>
    <row r="57" ht="27.75" customHeight="1" x14ac:dyDescent="0.25"/>
    <row r="58" ht="27.75" customHeight="1" x14ac:dyDescent="0.25"/>
    <row r="59" ht="27.75" customHeight="1" x14ac:dyDescent="0.25"/>
    <row r="60" ht="27.75" customHeight="1" x14ac:dyDescent="0.25"/>
    <row r="61" ht="27.75" customHeight="1" x14ac:dyDescent="0.25"/>
    <row r="62" ht="27.75" customHeight="1" x14ac:dyDescent="0.25"/>
    <row r="63" ht="27.75" customHeight="1" x14ac:dyDescent="0.25"/>
    <row r="64" ht="27.75" customHeight="1" x14ac:dyDescent="0.25"/>
    <row r="65" ht="27.75" customHeight="1" x14ac:dyDescent="0.25"/>
    <row r="66" ht="27.75" customHeight="1" x14ac:dyDescent="0.25"/>
    <row r="67" ht="27.75" customHeight="1" x14ac:dyDescent="0.25"/>
    <row r="68" ht="27.75" customHeight="1" x14ac:dyDescent="0.25"/>
    <row r="69" ht="27.75" customHeight="1" x14ac:dyDescent="0.25"/>
    <row r="70" ht="27.75" customHeight="1" x14ac:dyDescent="0.25"/>
    <row r="71" ht="27.75" customHeight="1" x14ac:dyDescent="0.25"/>
    <row r="72" ht="27.75" customHeight="1" x14ac:dyDescent="0.25"/>
    <row r="73" ht="27.75" customHeight="1" x14ac:dyDescent="0.25"/>
    <row r="74" ht="27.75" customHeight="1" x14ac:dyDescent="0.25"/>
    <row r="75" ht="27.75" customHeight="1" x14ac:dyDescent="0.25"/>
    <row r="76" ht="27.75" customHeight="1" x14ac:dyDescent="0.25"/>
    <row r="77" ht="27.75" customHeight="1" x14ac:dyDescent="0.25"/>
    <row r="78" ht="27.75" customHeight="1" x14ac:dyDescent="0.25"/>
    <row r="79" ht="27.75" customHeight="1" x14ac:dyDescent="0.25"/>
    <row r="80" ht="27.75" customHeight="1" x14ac:dyDescent="0.25"/>
    <row r="81" ht="27.75" customHeight="1" x14ac:dyDescent="0.25"/>
    <row r="82" ht="27.75" customHeight="1" x14ac:dyDescent="0.25"/>
    <row r="83" ht="27.75" customHeight="1" x14ac:dyDescent="0.25"/>
    <row r="84" ht="27.75" customHeight="1" x14ac:dyDescent="0.25"/>
    <row r="85" ht="27.75" customHeight="1" x14ac:dyDescent="0.25"/>
    <row r="86" ht="27.75" customHeight="1" x14ac:dyDescent="0.25"/>
    <row r="87" ht="27.75" customHeight="1" x14ac:dyDescent="0.25"/>
    <row r="88" ht="27.75" customHeight="1" x14ac:dyDescent="0.25"/>
    <row r="89" ht="27.75" customHeight="1" x14ac:dyDescent="0.25"/>
    <row r="90" ht="27.75" customHeight="1" x14ac:dyDescent="0.25"/>
    <row r="91" ht="27.75" customHeight="1" x14ac:dyDescent="0.25"/>
    <row r="92" ht="27.75" customHeight="1" x14ac:dyDescent="0.25"/>
    <row r="93" ht="27.75" customHeight="1" x14ac:dyDescent="0.25"/>
    <row r="94" ht="27.75" customHeight="1" x14ac:dyDescent="0.25"/>
    <row r="95" ht="27.75" customHeight="1" x14ac:dyDescent="0.25"/>
    <row r="96" ht="27.75" customHeight="1" x14ac:dyDescent="0.25"/>
    <row r="97" ht="27.75" customHeight="1" x14ac:dyDescent="0.25"/>
    <row r="98" ht="27.75" customHeight="1" x14ac:dyDescent="0.25"/>
    <row r="99" ht="27.75" customHeight="1" x14ac:dyDescent="0.25"/>
    <row r="100" ht="27.75" customHeight="1" x14ac:dyDescent="0.25"/>
    <row r="101" ht="27.75" customHeight="1" x14ac:dyDescent="0.25"/>
    <row r="102" ht="27.75" customHeight="1" x14ac:dyDescent="0.25"/>
    <row r="103" ht="27.75" customHeight="1" x14ac:dyDescent="0.25"/>
    <row r="104" ht="27.75" customHeight="1" x14ac:dyDescent="0.25"/>
    <row r="105" ht="27.75" customHeight="1" x14ac:dyDescent="0.25"/>
    <row r="106" ht="27.75" customHeight="1" x14ac:dyDescent="0.25"/>
    <row r="107" ht="27.75" customHeight="1" x14ac:dyDescent="0.25"/>
    <row r="108" ht="27.75" customHeight="1" x14ac:dyDescent="0.25"/>
    <row r="109" ht="27.75" customHeight="1" x14ac:dyDescent="0.25"/>
    <row r="110" ht="27.75" customHeight="1" x14ac:dyDescent="0.25"/>
    <row r="111" ht="27.75" customHeight="1" x14ac:dyDescent="0.25"/>
    <row r="112" ht="27.75" customHeight="1" x14ac:dyDescent="0.25"/>
    <row r="113" ht="27.75" customHeight="1" x14ac:dyDescent="0.25"/>
    <row r="114" ht="27.75" customHeight="1" x14ac:dyDescent="0.25"/>
    <row r="115" ht="27.75" customHeight="1" x14ac:dyDescent="0.25"/>
    <row r="116" ht="27.75" customHeight="1" x14ac:dyDescent="0.25"/>
    <row r="117" ht="27.75" customHeight="1" x14ac:dyDescent="0.25"/>
    <row r="118" ht="27.75" customHeight="1" x14ac:dyDescent="0.25"/>
    <row r="119" ht="27.75" customHeight="1" x14ac:dyDescent="0.25"/>
    <row r="120" ht="27.75" customHeight="1" x14ac:dyDescent="0.25"/>
    <row r="121" ht="27.75" customHeight="1" x14ac:dyDescent="0.25"/>
    <row r="122" ht="27.75" customHeight="1" x14ac:dyDescent="0.25"/>
    <row r="123" ht="27.75" customHeight="1" x14ac:dyDescent="0.25"/>
    <row r="124" ht="27.75" customHeight="1" x14ac:dyDescent="0.25"/>
    <row r="125" ht="27.75" customHeight="1" x14ac:dyDescent="0.25"/>
    <row r="126" ht="27.75" customHeight="1" x14ac:dyDescent="0.25"/>
    <row r="127" ht="27.75" customHeight="1" x14ac:dyDescent="0.25"/>
    <row r="128" ht="27.75" customHeight="1" x14ac:dyDescent="0.25"/>
    <row r="129" ht="27.75" customHeight="1" x14ac:dyDescent="0.25"/>
    <row r="130" ht="27.75" customHeight="1" x14ac:dyDescent="0.25"/>
    <row r="131" ht="27.75" customHeight="1" x14ac:dyDescent="0.25"/>
    <row r="132" ht="27.75" customHeight="1" x14ac:dyDescent="0.25"/>
    <row r="133" ht="27.75" customHeight="1" x14ac:dyDescent="0.25"/>
    <row r="134" ht="27.75" customHeight="1" x14ac:dyDescent="0.25"/>
    <row r="135" ht="27.75" customHeight="1" x14ac:dyDescent="0.25"/>
    <row r="136" ht="27.75" customHeight="1" x14ac:dyDescent="0.25"/>
    <row r="137" ht="27.75" customHeight="1" x14ac:dyDescent="0.25"/>
    <row r="138" ht="27.75" customHeight="1" x14ac:dyDescent="0.25"/>
    <row r="139" ht="27.75" customHeight="1" x14ac:dyDescent="0.25"/>
    <row r="140" ht="27.75" customHeight="1" x14ac:dyDescent="0.25"/>
    <row r="141" ht="27.75" customHeight="1" x14ac:dyDescent="0.25"/>
    <row r="142" ht="27.75" customHeight="1" x14ac:dyDescent="0.25"/>
    <row r="143" ht="27.75" customHeight="1" x14ac:dyDescent="0.25"/>
    <row r="144" ht="27.75" customHeight="1" x14ac:dyDescent="0.25"/>
    <row r="145" ht="27.75" customHeight="1" x14ac:dyDescent="0.25"/>
    <row r="146" ht="27.75" customHeight="1" x14ac:dyDescent="0.25"/>
    <row r="147" ht="27.75" customHeight="1" x14ac:dyDescent="0.25"/>
    <row r="148" ht="27.75" customHeight="1" x14ac:dyDescent="0.25"/>
    <row r="149" ht="27.75" customHeight="1" x14ac:dyDescent="0.25"/>
    <row r="150" ht="27.75" customHeight="1" x14ac:dyDescent="0.25"/>
    <row r="151" ht="27.75" customHeight="1" x14ac:dyDescent="0.25"/>
    <row r="152" ht="27.75" customHeight="1" x14ac:dyDescent="0.25"/>
    <row r="153" ht="27.75" customHeight="1" x14ac:dyDescent="0.25"/>
    <row r="154" ht="27.75" customHeight="1" x14ac:dyDescent="0.25"/>
    <row r="155" ht="27.75" customHeight="1" x14ac:dyDescent="0.25"/>
    <row r="156" ht="27.75" customHeight="1" x14ac:dyDescent="0.25"/>
    <row r="157" ht="27.75" customHeight="1" x14ac:dyDescent="0.25"/>
    <row r="158" ht="27.75" customHeight="1" x14ac:dyDescent="0.25"/>
    <row r="159" ht="27.75" customHeight="1" x14ac:dyDescent="0.25"/>
    <row r="160" ht="27.75" customHeight="1" x14ac:dyDescent="0.25"/>
    <row r="161" ht="27.75" customHeight="1" x14ac:dyDescent="0.25"/>
    <row r="162" ht="27.75" customHeight="1" x14ac:dyDescent="0.25"/>
    <row r="163" ht="27.75" customHeight="1" x14ac:dyDescent="0.25"/>
    <row r="164" ht="27.75" customHeight="1" x14ac:dyDescent="0.25"/>
    <row r="165" ht="27.75" customHeight="1" x14ac:dyDescent="0.25"/>
    <row r="166" ht="27.75" customHeight="1" x14ac:dyDescent="0.25"/>
    <row r="167" ht="27.75" customHeight="1" x14ac:dyDescent="0.25"/>
    <row r="168" ht="27.75" customHeight="1" x14ac:dyDescent="0.25"/>
    <row r="169" ht="27.75" customHeight="1" x14ac:dyDescent="0.25"/>
    <row r="170" ht="27.75" customHeight="1" x14ac:dyDescent="0.25"/>
    <row r="171" ht="27.75" customHeight="1" x14ac:dyDescent="0.25"/>
    <row r="172" ht="27.75" customHeight="1" x14ac:dyDescent="0.25"/>
    <row r="173" ht="27.75" customHeight="1" x14ac:dyDescent="0.25"/>
    <row r="174" ht="27.75" customHeight="1" x14ac:dyDescent="0.25"/>
    <row r="175" ht="27.75" customHeight="1" x14ac:dyDescent="0.25"/>
    <row r="176" ht="27.75" customHeight="1" x14ac:dyDescent="0.25"/>
    <row r="177" ht="27.75" customHeight="1" x14ac:dyDescent="0.25"/>
    <row r="178" ht="27.75" customHeight="1" x14ac:dyDescent="0.25"/>
    <row r="179" ht="27.75" customHeight="1" x14ac:dyDescent="0.25"/>
    <row r="180" ht="27.75" customHeight="1" x14ac:dyDescent="0.25"/>
    <row r="181" ht="27.75" customHeight="1" x14ac:dyDescent="0.25"/>
    <row r="182" ht="27.75" customHeight="1" x14ac:dyDescent="0.25"/>
    <row r="183" ht="27.75" customHeight="1" x14ac:dyDescent="0.25"/>
    <row r="184" ht="27.75" customHeight="1" x14ac:dyDescent="0.25"/>
    <row r="185" ht="27.75" customHeight="1" x14ac:dyDescent="0.25"/>
    <row r="186" ht="27.75" customHeight="1" x14ac:dyDescent="0.25"/>
    <row r="187" ht="27.75" customHeight="1" x14ac:dyDescent="0.25"/>
    <row r="188" ht="27.75" customHeight="1" x14ac:dyDescent="0.25"/>
    <row r="189" ht="27.75" customHeight="1" x14ac:dyDescent="0.25"/>
    <row r="190" ht="27.75" customHeight="1" x14ac:dyDescent="0.25"/>
    <row r="191" ht="27.75" customHeight="1" x14ac:dyDescent="0.25"/>
    <row r="192" ht="27.75" customHeight="1" x14ac:dyDescent="0.25"/>
    <row r="193" ht="27.75" customHeight="1" x14ac:dyDescent="0.25"/>
    <row r="194" ht="27.75" customHeight="1" x14ac:dyDescent="0.25"/>
    <row r="195" ht="27.75" customHeight="1" x14ac:dyDescent="0.25"/>
    <row r="196" ht="27.75" customHeight="1" x14ac:dyDescent="0.25"/>
    <row r="197" ht="27.75" customHeight="1" x14ac:dyDescent="0.25"/>
    <row r="198" ht="27.75" customHeight="1" x14ac:dyDescent="0.25"/>
    <row r="199" ht="27.75" customHeight="1" x14ac:dyDescent="0.25"/>
    <row r="200" ht="27.75" customHeight="1" x14ac:dyDescent="0.25"/>
    <row r="201" ht="27.75" customHeight="1" x14ac:dyDescent="0.25"/>
    <row r="202" ht="27.75" customHeight="1" x14ac:dyDescent="0.25"/>
    <row r="203" ht="27.75" customHeight="1" x14ac:dyDescent="0.25"/>
    <row r="204" ht="27.75" customHeight="1" x14ac:dyDescent="0.25"/>
    <row r="205" ht="27.75" customHeight="1" x14ac:dyDescent="0.25"/>
    <row r="206" ht="27.75" customHeight="1" x14ac:dyDescent="0.25"/>
    <row r="207" ht="27.75" customHeight="1" x14ac:dyDescent="0.25"/>
    <row r="208" ht="27.75" customHeight="1" x14ac:dyDescent="0.25"/>
    <row r="209" ht="27.75" customHeight="1" x14ac:dyDescent="0.25"/>
    <row r="210" ht="27.75" customHeight="1" x14ac:dyDescent="0.25"/>
    <row r="211" ht="27.75" customHeight="1" x14ac:dyDescent="0.25"/>
    <row r="212" ht="27.75" customHeight="1" x14ac:dyDescent="0.25"/>
    <row r="213" ht="27.75" customHeight="1" x14ac:dyDescent="0.25"/>
    <row r="214" ht="27.75" customHeight="1" x14ac:dyDescent="0.25"/>
    <row r="215" ht="27.75" customHeight="1" x14ac:dyDescent="0.25"/>
    <row r="216" ht="27.75" customHeight="1" x14ac:dyDescent="0.25"/>
    <row r="217" ht="27.75" customHeight="1" x14ac:dyDescent="0.25"/>
    <row r="218" ht="27.75" customHeight="1" x14ac:dyDescent="0.25"/>
    <row r="219" ht="27.75" customHeight="1" x14ac:dyDescent="0.25"/>
    <row r="220" ht="27.75" customHeight="1" x14ac:dyDescent="0.25"/>
    <row r="221" ht="27.75" customHeight="1" x14ac:dyDescent="0.25"/>
    <row r="222" ht="27.75" customHeight="1" x14ac:dyDescent="0.25"/>
    <row r="223" ht="27.75" customHeight="1" x14ac:dyDescent="0.25"/>
    <row r="224" ht="27.75" customHeight="1" x14ac:dyDescent="0.25"/>
    <row r="225" ht="27.75" customHeight="1" x14ac:dyDescent="0.25"/>
    <row r="226" ht="27.75" customHeight="1" x14ac:dyDescent="0.25"/>
    <row r="227" ht="27.75" customHeight="1" x14ac:dyDescent="0.25"/>
    <row r="228" ht="27.75" customHeight="1" x14ac:dyDescent="0.25"/>
    <row r="229" ht="27.75" customHeight="1" x14ac:dyDescent="0.25"/>
    <row r="230" ht="27.75" customHeight="1" x14ac:dyDescent="0.25"/>
    <row r="231" ht="27.75" customHeight="1" x14ac:dyDescent="0.25"/>
    <row r="232" ht="27.75" customHeight="1" x14ac:dyDescent="0.25"/>
    <row r="233" ht="27.75" customHeight="1" x14ac:dyDescent="0.25"/>
    <row r="234" ht="27.75" customHeight="1" x14ac:dyDescent="0.25"/>
    <row r="235" ht="27.75" customHeight="1" x14ac:dyDescent="0.25"/>
    <row r="236" ht="27.75" customHeight="1" x14ac:dyDescent="0.25"/>
    <row r="237" ht="27.75" customHeight="1" x14ac:dyDescent="0.25"/>
    <row r="238" ht="27.75" customHeight="1" x14ac:dyDescent="0.25"/>
    <row r="239" ht="27.75" customHeight="1" x14ac:dyDescent="0.25"/>
    <row r="240" ht="27.75" customHeight="1" x14ac:dyDescent="0.25"/>
    <row r="241" ht="27.75" customHeight="1" x14ac:dyDescent="0.25"/>
    <row r="242" ht="27.75" customHeight="1" x14ac:dyDescent="0.25"/>
    <row r="243" ht="27.75" customHeight="1" x14ac:dyDescent="0.25"/>
    <row r="244" ht="27.75" customHeight="1" x14ac:dyDescent="0.25"/>
    <row r="245" ht="27.75" customHeight="1" x14ac:dyDescent="0.25"/>
    <row r="246" ht="27.75" customHeight="1" x14ac:dyDescent="0.25"/>
    <row r="247" ht="27.75" customHeight="1" x14ac:dyDescent="0.25"/>
    <row r="248" ht="27.75" customHeight="1" x14ac:dyDescent="0.25"/>
    <row r="249" ht="27.75" customHeight="1" x14ac:dyDescent="0.25"/>
    <row r="250" ht="27.75" customHeight="1" x14ac:dyDescent="0.25"/>
    <row r="251" ht="27.75" customHeight="1" x14ac:dyDescent="0.25"/>
    <row r="252" ht="27.75" customHeight="1" x14ac:dyDescent="0.25"/>
    <row r="253" ht="27.75" customHeight="1" x14ac:dyDescent="0.25"/>
    <row r="254" ht="27.75" customHeight="1" x14ac:dyDescent="0.25"/>
    <row r="255" ht="27.75" customHeight="1" x14ac:dyDescent="0.25"/>
    <row r="256" ht="27.75" customHeight="1" x14ac:dyDescent="0.25"/>
    <row r="257" ht="27.75" customHeight="1" x14ac:dyDescent="0.25"/>
    <row r="258" ht="27.75" customHeight="1" x14ac:dyDescent="0.25"/>
    <row r="259" ht="27.75" customHeight="1" x14ac:dyDescent="0.25"/>
    <row r="260" ht="27.75" customHeight="1" x14ac:dyDescent="0.25"/>
    <row r="261" ht="27.75" customHeight="1" x14ac:dyDescent="0.25"/>
    <row r="262" ht="27.75" customHeight="1" x14ac:dyDescent="0.25"/>
    <row r="263" ht="27.75" customHeight="1" x14ac:dyDescent="0.25"/>
    <row r="264" ht="27.75" customHeight="1" x14ac:dyDescent="0.25"/>
    <row r="265" ht="27.75" customHeight="1" x14ac:dyDescent="0.25"/>
    <row r="266" ht="27.75" customHeight="1" x14ac:dyDescent="0.25"/>
    <row r="267" ht="27.75" customHeight="1" x14ac:dyDescent="0.25"/>
    <row r="268" ht="27.75" customHeight="1" x14ac:dyDescent="0.25"/>
    <row r="269" ht="27.75" customHeight="1" x14ac:dyDescent="0.25"/>
    <row r="270" ht="27.75" customHeight="1" x14ac:dyDescent="0.25"/>
    <row r="271" ht="27.75" customHeight="1" x14ac:dyDescent="0.25"/>
    <row r="272" ht="27.75" customHeight="1" x14ac:dyDescent="0.25"/>
    <row r="273" ht="27.75" customHeight="1" x14ac:dyDescent="0.25"/>
    <row r="274" ht="27.75" customHeight="1" x14ac:dyDescent="0.25"/>
    <row r="275" ht="27.75" customHeight="1" x14ac:dyDescent="0.25"/>
    <row r="276" ht="27.75" customHeight="1" x14ac:dyDescent="0.25"/>
    <row r="277" ht="27.75" customHeight="1" x14ac:dyDescent="0.25"/>
    <row r="278" ht="27.75" customHeight="1" x14ac:dyDescent="0.25"/>
    <row r="279" ht="27.75" customHeight="1" x14ac:dyDescent="0.25"/>
    <row r="280" ht="27.75" customHeight="1" x14ac:dyDescent="0.25"/>
    <row r="281" ht="27.75" customHeight="1" x14ac:dyDescent="0.25"/>
    <row r="282" ht="27.75" customHeight="1" x14ac:dyDescent="0.25"/>
    <row r="283" ht="27.75" customHeight="1" x14ac:dyDescent="0.25"/>
    <row r="284" ht="27.75" customHeight="1" x14ac:dyDescent="0.25"/>
    <row r="285" ht="27.75" customHeight="1" x14ac:dyDescent="0.25"/>
    <row r="286" ht="27.75" customHeight="1" x14ac:dyDescent="0.25"/>
    <row r="287" ht="27.75" customHeight="1" x14ac:dyDescent="0.25"/>
    <row r="288" ht="27.75" customHeight="1" x14ac:dyDescent="0.25"/>
    <row r="289" ht="27.75" customHeight="1" x14ac:dyDescent="0.25"/>
    <row r="290" ht="27.75" customHeight="1" x14ac:dyDescent="0.25"/>
    <row r="291" ht="27.75" customHeight="1" x14ac:dyDescent="0.25"/>
    <row r="292" ht="27.75" customHeight="1" x14ac:dyDescent="0.25"/>
    <row r="293" ht="27.75" customHeight="1" x14ac:dyDescent="0.25"/>
    <row r="294" ht="27.75" customHeight="1" x14ac:dyDescent="0.25"/>
    <row r="295" ht="27.75" customHeight="1" x14ac:dyDescent="0.25"/>
    <row r="296" ht="27.75" customHeight="1" x14ac:dyDescent="0.25"/>
    <row r="297" ht="27.75" customHeight="1" x14ac:dyDescent="0.25"/>
    <row r="298" ht="27.75" customHeight="1" x14ac:dyDescent="0.25"/>
    <row r="299" ht="27.75" customHeight="1" x14ac:dyDescent="0.25"/>
    <row r="300" ht="27.75" customHeight="1" x14ac:dyDescent="0.25"/>
    <row r="301" ht="27.75" customHeight="1" x14ac:dyDescent="0.25"/>
    <row r="302" ht="27.75" customHeight="1" x14ac:dyDescent="0.25"/>
    <row r="303" ht="27.75" customHeight="1" x14ac:dyDescent="0.25"/>
    <row r="304" ht="27.75" customHeight="1" x14ac:dyDescent="0.25"/>
    <row r="305" ht="27.75" customHeight="1" x14ac:dyDescent="0.25"/>
    <row r="306" ht="27.75" customHeight="1" x14ac:dyDescent="0.25"/>
    <row r="307" ht="27.75" customHeight="1" x14ac:dyDescent="0.25"/>
    <row r="308" ht="27.75" customHeight="1" x14ac:dyDescent="0.25"/>
    <row r="309" ht="27.75" customHeight="1" x14ac:dyDescent="0.25"/>
    <row r="310" ht="27.75" customHeight="1" x14ac:dyDescent="0.25"/>
    <row r="311" ht="27.75" customHeight="1" x14ac:dyDescent="0.25"/>
    <row r="312" ht="27.75" customHeight="1" x14ac:dyDescent="0.25"/>
    <row r="313" ht="27.75" customHeight="1" x14ac:dyDescent="0.25"/>
    <row r="314" ht="27.75" customHeight="1" x14ac:dyDescent="0.25"/>
    <row r="315" ht="27.75" customHeight="1" x14ac:dyDescent="0.25"/>
    <row r="316" ht="27.75" customHeight="1" x14ac:dyDescent="0.25"/>
    <row r="317" ht="27.75" customHeight="1" x14ac:dyDescent="0.25"/>
    <row r="318" ht="27.75" customHeight="1" x14ac:dyDescent="0.25"/>
    <row r="319" ht="27.75" customHeight="1" x14ac:dyDescent="0.25"/>
    <row r="320" ht="27.75" customHeight="1" x14ac:dyDescent="0.25"/>
    <row r="321" ht="27.75" customHeight="1" x14ac:dyDescent="0.25"/>
    <row r="322" ht="27.75" customHeight="1" x14ac:dyDescent="0.25"/>
    <row r="323" ht="27.75" customHeight="1" x14ac:dyDescent="0.25"/>
    <row r="324" ht="27.75" customHeight="1" x14ac:dyDescent="0.25"/>
    <row r="325" ht="27.75" customHeight="1" x14ac:dyDescent="0.25"/>
    <row r="326" ht="27.75" customHeight="1" x14ac:dyDescent="0.25"/>
    <row r="327" ht="27.75" customHeight="1" x14ac:dyDescent="0.25"/>
    <row r="328" ht="27.75" customHeight="1" x14ac:dyDescent="0.25"/>
    <row r="329" ht="27.75" customHeight="1" x14ac:dyDescent="0.25"/>
    <row r="330" ht="27.75" customHeight="1" x14ac:dyDescent="0.25"/>
    <row r="331" ht="27.75" customHeight="1" x14ac:dyDescent="0.25"/>
    <row r="332" ht="27.75" customHeight="1" x14ac:dyDescent="0.25"/>
    <row r="333" ht="27.75" customHeight="1" x14ac:dyDescent="0.25"/>
    <row r="334" ht="27.75" customHeight="1" x14ac:dyDescent="0.25"/>
    <row r="335" ht="27.75" customHeight="1" x14ac:dyDescent="0.25"/>
    <row r="336" ht="27.75" customHeight="1" x14ac:dyDescent="0.25"/>
    <row r="337" ht="27.75" customHeight="1" x14ac:dyDescent="0.25"/>
    <row r="338" ht="27.75" customHeight="1" x14ac:dyDescent="0.25"/>
    <row r="339" ht="27.75" customHeight="1" x14ac:dyDescent="0.25"/>
    <row r="340" ht="27.75" customHeight="1" x14ac:dyDescent="0.25"/>
    <row r="341" ht="27.75" customHeight="1" x14ac:dyDescent="0.25"/>
    <row r="342" ht="27.75" customHeight="1" x14ac:dyDescent="0.25"/>
    <row r="343" ht="27.75" customHeight="1" x14ac:dyDescent="0.25"/>
    <row r="344" ht="27.75" customHeight="1" x14ac:dyDescent="0.25"/>
    <row r="345" ht="27.75" customHeight="1" x14ac:dyDescent="0.25"/>
    <row r="346" ht="27.75" customHeight="1" x14ac:dyDescent="0.25"/>
    <row r="347" ht="27.75" customHeight="1" x14ac:dyDescent="0.25"/>
    <row r="348" ht="27.75" customHeight="1" x14ac:dyDescent="0.25"/>
    <row r="349" ht="27.75" customHeight="1" x14ac:dyDescent="0.25"/>
    <row r="350" ht="27.75" customHeight="1" x14ac:dyDescent="0.25"/>
    <row r="351" ht="27.75" customHeight="1" x14ac:dyDescent="0.25"/>
    <row r="352" ht="27.75" customHeight="1" x14ac:dyDescent="0.25"/>
    <row r="353" ht="27.75" customHeight="1" x14ac:dyDescent="0.25"/>
    <row r="354" ht="27.75" customHeight="1" x14ac:dyDescent="0.25"/>
    <row r="355" ht="27.75" customHeight="1" x14ac:dyDescent="0.25"/>
    <row r="356" ht="27.75" customHeight="1" x14ac:dyDescent="0.25"/>
    <row r="357" ht="27.75" customHeight="1" x14ac:dyDescent="0.25"/>
    <row r="358" ht="27.75" customHeight="1" x14ac:dyDescent="0.25"/>
    <row r="359" ht="27.75" customHeight="1" x14ac:dyDescent="0.25"/>
    <row r="360" ht="27.75" customHeight="1" x14ac:dyDescent="0.25"/>
    <row r="361" ht="27.75" customHeight="1" x14ac:dyDescent="0.25"/>
    <row r="362" ht="27.75" customHeight="1" x14ac:dyDescent="0.25"/>
    <row r="363" ht="27.75" customHeight="1" x14ac:dyDescent="0.25"/>
    <row r="364" ht="27.75" customHeight="1" x14ac:dyDescent="0.25"/>
    <row r="365" ht="27.75" customHeight="1" x14ac:dyDescent="0.25"/>
    <row r="366" ht="27.75" customHeight="1" x14ac:dyDescent="0.25"/>
    <row r="367" ht="27.75" customHeight="1" x14ac:dyDescent="0.25"/>
    <row r="368" ht="27.75" customHeight="1" x14ac:dyDescent="0.25"/>
    <row r="369" ht="27.75" customHeight="1" x14ac:dyDescent="0.25"/>
    <row r="370" ht="27.75" customHeight="1" x14ac:dyDescent="0.25"/>
    <row r="371" ht="27.75" customHeight="1" x14ac:dyDescent="0.25"/>
    <row r="372" ht="27.75" customHeight="1" x14ac:dyDescent="0.25"/>
    <row r="373" ht="27.75" customHeight="1" x14ac:dyDescent="0.25"/>
    <row r="374" ht="27.75" customHeight="1" x14ac:dyDescent="0.25"/>
    <row r="375" ht="27.75" customHeight="1" x14ac:dyDescent="0.25"/>
    <row r="376" ht="27.75" customHeight="1" x14ac:dyDescent="0.25"/>
    <row r="377" ht="27.75" customHeight="1" x14ac:dyDescent="0.25"/>
    <row r="378" ht="27.75" customHeight="1" x14ac:dyDescent="0.25"/>
    <row r="379" ht="27.75" customHeight="1" x14ac:dyDescent="0.25"/>
    <row r="380" ht="27.75" customHeight="1" x14ac:dyDescent="0.25"/>
    <row r="381" ht="27.75" customHeight="1" x14ac:dyDescent="0.25"/>
    <row r="382" ht="27.75" customHeight="1" x14ac:dyDescent="0.25"/>
    <row r="383" ht="27.75" customHeight="1" x14ac:dyDescent="0.25"/>
    <row r="384" ht="27.75" customHeight="1" x14ac:dyDescent="0.25"/>
    <row r="385" ht="27.75" customHeight="1" x14ac:dyDescent="0.25"/>
    <row r="386" ht="27.75" customHeight="1" x14ac:dyDescent="0.25"/>
    <row r="387" ht="27.75" customHeight="1" x14ac:dyDescent="0.25"/>
    <row r="388" ht="27.75" customHeight="1" x14ac:dyDescent="0.25"/>
    <row r="389" ht="27.75" customHeight="1" x14ac:dyDescent="0.25"/>
    <row r="390" ht="27.75" customHeight="1" x14ac:dyDescent="0.25"/>
    <row r="391" ht="27.75" customHeight="1" x14ac:dyDescent="0.25"/>
    <row r="392" ht="27.75" customHeight="1" x14ac:dyDescent="0.25"/>
    <row r="393" ht="27.75" customHeight="1" x14ac:dyDescent="0.25"/>
    <row r="394" ht="27.75" customHeight="1" x14ac:dyDescent="0.25"/>
    <row r="395" ht="27.75" customHeight="1" x14ac:dyDescent="0.25"/>
    <row r="396" ht="27.75" customHeight="1" x14ac:dyDescent="0.25"/>
    <row r="397" ht="27.75" customHeight="1" x14ac:dyDescent="0.25"/>
    <row r="398" ht="27.75" customHeight="1" x14ac:dyDescent="0.25"/>
    <row r="399" ht="27.75" customHeight="1" x14ac:dyDescent="0.25"/>
    <row r="400" ht="27.75" customHeight="1" x14ac:dyDescent="0.25"/>
    <row r="401" ht="27.75" customHeight="1" x14ac:dyDescent="0.25"/>
    <row r="402" ht="27.75" customHeight="1" x14ac:dyDescent="0.25"/>
    <row r="403" ht="27.75" customHeight="1" x14ac:dyDescent="0.25"/>
    <row r="404" ht="27.75" customHeight="1" x14ac:dyDescent="0.25"/>
    <row r="405" ht="27.75" customHeight="1" x14ac:dyDescent="0.25"/>
    <row r="406" ht="27.75" customHeight="1" x14ac:dyDescent="0.25"/>
    <row r="407" ht="27.75" customHeight="1" x14ac:dyDescent="0.25"/>
    <row r="408" ht="27.75" customHeight="1" x14ac:dyDescent="0.25"/>
    <row r="409" ht="27.75" customHeight="1" x14ac:dyDescent="0.25"/>
    <row r="410" ht="27.75" customHeight="1" x14ac:dyDescent="0.25"/>
    <row r="411" ht="27.75" customHeight="1" x14ac:dyDescent="0.25"/>
    <row r="412" ht="27.75" customHeight="1" x14ac:dyDescent="0.25"/>
    <row r="413" ht="27.75" customHeight="1" x14ac:dyDescent="0.25"/>
    <row r="414" ht="27.75" customHeight="1" x14ac:dyDescent="0.25"/>
    <row r="415" ht="27.75" customHeight="1" x14ac:dyDescent="0.25"/>
    <row r="416" ht="27.75" customHeight="1" x14ac:dyDescent="0.25"/>
    <row r="417" ht="27.75" customHeight="1" x14ac:dyDescent="0.25"/>
    <row r="418" ht="27.75" customHeight="1" x14ac:dyDescent="0.25"/>
    <row r="419" ht="27.75" customHeight="1" x14ac:dyDescent="0.25"/>
    <row r="420" ht="27.75" customHeight="1" x14ac:dyDescent="0.25"/>
    <row r="421" ht="27.75" customHeight="1" x14ac:dyDescent="0.25"/>
    <row r="422" ht="27.75" customHeight="1" x14ac:dyDescent="0.25"/>
    <row r="423" ht="27.75" customHeight="1" x14ac:dyDescent="0.25"/>
    <row r="424" ht="27.75" customHeight="1" x14ac:dyDescent="0.25"/>
    <row r="425" ht="27.75" customHeight="1" x14ac:dyDescent="0.25"/>
    <row r="426" ht="27.75" customHeight="1" x14ac:dyDescent="0.25"/>
    <row r="427" ht="27.75" customHeight="1" x14ac:dyDescent="0.25"/>
    <row r="428" ht="27.75" customHeight="1" x14ac:dyDescent="0.25"/>
    <row r="429" ht="27.75" customHeight="1" x14ac:dyDescent="0.25"/>
    <row r="430" ht="27.75" customHeight="1" x14ac:dyDescent="0.25"/>
    <row r="431" ht="27.75" customHeight="1" x14ac:dyDescent="0.25"/>
    <row r="432" ht="27.75" customHeight="1" x14ac:dyDescent="0.25"/>
    <row r="433" ht="27.75" customHeight="1" x14ac:dyDescent="0.25"/>
    <row r="434" ht="27.75" customHeight="1" x14ac:dyDescent="0.25"/>
    <row r="435" ht="27.75" customHeight="1" x14ac:dyDescent="0.25"/>
    <row r="436" ht="27.75" customHeight="1" x14ac:dyDescent="0.25"/>
    <row r="437" ht="27.75" customHeight="1" x14ac:dyDescent="0.25"/>
    <row r="438" ht="27.75" customHeight="1" x14ac:dyDescent="0.25"/>
    <row r="439" ht="27.75" customHeight="1" x14ac:dyDescent="0.25"/>
    <row r="440" ht="27.75" customHeight="1" x14ac:dyDescent="0.25"/>
    <row r="441" ht="27.75" customHeight="1" x14ac:dyDescent="0.25"/>
  </sheetData>
  <mergeCells count="13">
    <mergeCell ref="B2:I2"/>
    <mergeCell ref="AS13:AW13"/>
    <mergeCell ref="K4:O4"/>
    <mergeCell ref="AS4:AW4"/>
    <mergeCell ref="E4:I4"/>
    <mergeCell ref="Q4:U4"/>
    <mergeCell ref="Q13:U13"/>
    <mergeCell ref="K13:O13"/>
    <mergeCell ref="AA8:AE8"/>
    <mergeCell ref="AG10:AH10"/>
    <mergeCell ref="AM13:AQ13"/>
    <mergeCell ref="AJ10:AK10"/>
    <mergeCell ref="AM4:AQ4"/>
  </mergeCells>
  <conditionalFormatting sqref="Q5:U9">
    <cfRule type="aboveAverage" dxfId="2" priority="17"/>
    <cfRule type="colorScale" priority="22">
      <colorScale>
        <cfvo type="percentile" val="10"/>
        <cfvo type="max"/>
        <color rgb="FFFCFCFF"/>
        <color theme="1" tint="4.9989318521683403E-2"/>
      </colorScale>
    </cfRule>
  </conditionalFormatting>
  <conditionalFormatting sqref="AA9:AE13">
    <cfRule type="colorScale" priority="1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M14:AQ18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M5:AQ9">
    <cfRule type="colorScale" priority="12">
      <colorScale>
        <cfvo type="min"/>
        <cfvo type="max"/>
        <color rgb="FFFFEF9C"/>
        <color rgb="FF63BE7B"/>
      </colorScale>
    </cfRule>
  </conditionalFormatting>
  <conditionalFormatting sqref="AS14:AW18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5:O9">
    <cfRule type="colorScale" priority="8">
      <colorScale>
        <cfvo type="min"/>
        <cfvo type="max"/>
        <color theme="5"/>
        <color rgb="FFFCFCFF"/>
      </colorScale>
    </cfRule>
  </conditionalFormatting>
  <conditionalFormatting sqref="AS5:AW9">
    <cfRule type="colorScale" priority="7">
      <colorScale>
        <cfvo type="min"/>
        <cfvo type="max"/>
        <color theme="5"/>
        <color rgb="FFFCFCFF"/>
      </colorScale>
    </cfRule>
  </conditionalFormatting>
  <conditionalFormatting sqref="P14:P18">
    <cfRule type="colorScale" priority="34">
      <colorScale>
        <cfvo type="percentile" val="10"/>
        <cfvo type="max"/>
        <color rgb="FFFCFCFF"/>
        <color theme="1" tint="4.9989318521683403E-2"/>
      </colorScale>
    </cfRule>
  </conditionalFormatting>
  <conditionalFormatting sqref="E5:J9 P5:P9">
    <cfRule type="colorScale" priority="38">
      <colorScale>
        <cfvo type="min"/>
        <cfvo type="max"/>
        <color rgb="FFFFEF9C"/>
        <color rgb="FF63BE7B"/>
      </colorScale>
    </cfRule>
  </conditionalFormatting>
  <conditionalFormatting sqref="Q14:U18">
    <cfRule type="aboveAverage" dxfId="1" priority="3"/>
    <cfRule type="colorScale" priority="4">
      <colorScale>
        <cfvo type="percentile" val="10"/>
        <cfvo type="max"/>
        <color rgb="FFFCFCFF"/>
        <color theme="1" tint="4.9989318521683403E-2"/>
      </colorScale>
    </cfRule>
  </conditionalFormatting>
  <conditionalFormatting sqref="K14:O18">
    <cfRule type="aboveAverage" dxfId="0" priority="1"/>
    <cfRule type="colorScale" priority="2">
      <colorScale>
        <cfvo type="percentile" val="10"/>
        <cfvo type="max"/>
        <color rgb="FFFCFCFF"/>
        <color theme="1" tint="4.9989318521683403E-2"/>
      </colorScale>
    </cfRule>
  </conditionalFormatting>
  <hyperlinks>
    <hyperlink ref="B2" r:id="rId1" xr:uid="{2CDA2FF4-7F91-4CFC-97A6-EF7BF59BB7FA}"/>
  </hyperlinks>
  <pageMargins left="0.511811024" right="0.511811024" top="0.78740157499999996" bottom="0.78740157499999996" header="0.31496062000000002" footer="0.31496062000000002"/>
  <drawing r:id="rId2"/>
  <legacyDrawing r:id="rId3"/>
  <controls>
    <mc:AlternateContent xmlns:mc="http://schemas.openxmlformats.org/markup-compatibility/2006">
      <mc:Choice Requires="x14">
        <control shapeId="2054" r:id="rId4" name="CommandButton1">
          <controlPr defaultSize="0" autoLine="0" autoPict="0" r:id="rId5">
            <anchor moveWithCells="1">
              <from>
                <xdr:col>32</xdr:col>
                <xdr:colOff>228600</xdr:colOff>
                <xdr:row>1</xdr:row>
                <xdr:rowOff>38100</xdr:rowOff>
              </from>
              <to>
                <xdr:col>37</xdr:col>
                <xdr:colOff>0</xdr:colOff>
                <xdr:row>1</xdr:row>
                <xdr:rowOff>314325</xdr:rowOff>
              </to>
            </anchor>
          </controlPr>
        </control>
      </mc:Choice>
      <mc:Fallback>
        <control shapeId="205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Valdecy Pereira</dc:creator>
  <cp:lastModifiedBy>Valdecy Pereira</cp:lastModifiedBy>
  <dcterms:created xsi:type="dcterms:W3CDTF">2015-06-05T18:19:34Z</dcterms:created>
  <dcterms:modified xsi:type="dcterms:W3CDTF">2020-11-19T01:02:17Z</dcterms:modified>
</cp:coreProperties>
</file>