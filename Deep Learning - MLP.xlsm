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ThisWorkbook"/>
  <xr:revisionPtr revIDLastSave="0" documentId="13_ncr:1_{2D6DECCA-7844-4227-B62B-A22D27FBBD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LP" sheetId="15" r:id="rId1"/>
    <sheet name="MLP-Architecture" sheetId="1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5" i="15" l="1"/>
  <c r="I20" i="15" s="1"/>
  <c r="J24" i="15" l="1"/>
  <c r="M23" i="15"/>
  <c r="M17" i="15"/>
  <c r="R24" i="15"/>
  <c r="R15" i="15"/>
  <c r="M26" i="15"/>
  <c r="M14" i="15"/>
  <c r="M9" i="15"/>
  <c r="L9" i="15"/>
  <c r="R9" i="15"/>
  <c r="G7" i="15" l="1"/>
  <c r="G15" i="15"/>
  <c r="G23" i="15"/>
  <c r="G17" i="15"/>
  <c r="G25" i="15"/>
  <c r="G26" i="15"/>
  <c r="G19" i="15"/>
  <c r="G12" i="15"/>
  <c r="G28" i="15"/>
  <c r="G29" i="15"/>
  <c r="G6" i="15"/>
  <c r="G8" i="15"/>
  <c r="G16" i="15"/>
  <c r="G24" i="15"/>
  <c r="G9" i="15"/>
  <c r="G18" i="15"/>
  <c r="G11" i="15"/>
  <c r="G27" i="15"/>
  <c r="G20" i="15"/>
  <c r="G21" i="15"/>
  <c r="G14" i="15"/>
  <c r="G10" i="15"/>
  <c r="G13" i="15"/>
  <c r="G22" i="15"/>
  <c r="G30" i="15"/>
  <c r="U19" i="15"/>
  <c r="J15" i="15"/>
  <c r="P15" i="15" s="1"/>
  <c r="P16" i="15" s="1"/>
  <c r="G32" i="15" l="1"/>
  <c r="P24" i="15"/>
  <c r="P25" i="15" s="1"/>
  <c r="U18" i="15" s="1"/>
  <c r="U20" i="15" s="1"/>
  <c r="E43" i="15" s="1"/>
  <c r="E44" i="15" l="1"/>
  <c r="F35" i="15" l="1"/>
  <c r="G35" i="15" s="1"/>
  <c r="F36" i="15"/>
  <c r="G36" i="15" s="1"/>
  <c r="F42" i="15"/>
  <c r="G42" i="15" s="1"/>
  <c r="F34" i="15"/>
  <c r="G34" i="15" s="1"/>
  <c r="F38" i="15"/>
  <c r="G38" i="15" s="1"/>
  <c r="F40" i="15"/>
  <c r="G40" i="15" s="1"/>
  <c r="F37" i="15"/>
  <c r="G37" i="15" s="1"/>
  <c r="F39" i="15"/>
  <c r="G39" i="15" s="1"/>
  <c r="F41" i="15"/>
  <c r="G41" i="15" s="1"/>
</calcChain>
</file>

<file path=xl/sharedStrings.xml><?xml version="1.0" encoding="utf-8"?>
<sst xmlns="http://schemas.openxmlformats.org/spreadsheetml/2006/main" count="49" uniqueCount="35">
  <si>
    <t>Y</t>
  </si>
  <si>
    <t>X1</t>
  </si>
  <si>
    <t>X2</t>
  </si>
  <si>
    <t>x1</t>
  </si>
  <si>
    <t>x2</t>
  </si>
  <si>
    <t>w1_z1</t>
  </si>
  <si>
    <t>w2_z1</t>
  </si>
  <si>
    <t>w1_z2</t>
  </si>
  <si>
    <t>Z1</t>
  </si>
  <si>
    <t>Z2</t>
  </si>
  <si>
    <t>a(Z2)</t>
  </si>
  <si>
    <t>b1</t>
  </si>
  <si>
    <t>b2</t>
  </si>
  <si>
    <t>z1_Y</t>
  </si>
  <si>
    <t>z2_Y</t>
  </si>
  <si>
    <t>b3</t>
  </si>
  <si>
    <t>w2_z2</t>
  </si>
  <si>
    <t>Loss</t>
  </si>
  <si>
    <t>n</t>
  </si>
  <si>
    <t>r</t>
  </si>
  <si>
    <t>epochs</t>
  </si>
  <si>
    <t>Y_hat</t>
  </si>
  <si>
    <t>a(Z1)</t>
  </si>
  <si>
    <t>Random</t>
  </si>
  <si>
    <t>loss</t>
  </si>
  <si>
    <t>d-loss</t>
  </si>
  <si>
    <t>Total Loss</t>
  </si>
  <si>
    <t>x1_z1</t>
  </si>
  <si>
    <t>x1_z2</t>
  </si>
  <si>
    <t>x2_z1</t>
  </si>
  <si>
    <t>x2_z2</t>
  </si>
  <si>
    <t>b1_z1</t>
  </si>
  <si>
    <t>b1_z2</t>
  </si>
  <si>
    <t>b2_y</t>
  </si>
  <si>
    <t>https://github.com/Valdecy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</si>
</sst>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color theme="0"/>
      <name val="Times New Roman"/>
      <family val="1"/>
    </font>
    <font>
      <b/>
      <sz val="8"/>
      <color theme="1"/>
      <name val="Times New Roman"/>
      <family val="1"/>
    </font>
    <font>
      <b/>
      <sz val="8"/>
      <color theme="0"/>
      <name val="Times New Roman"/>
      <family val="1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/>
      <bottom style="dashDot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3" fillId="10" borderId="2" xfId="0" applyFont="1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165" fontId="1" fillId="13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">
    <dxf>
      <font>
        <color rgb="FFC00000"/>
      </font>
      <fill>
        <patternFill>
          <fgColor rgb="FFFFAFAF"/>
          <bgColor rgb="FFFDD3DD"/>
        </patternFill>
      </fill>
    </dxf>
  </dxfs>
  <tableStyles count="0" defaultTableStyle="TableStyleMedium2" defaultPivotStyle="PivotStyleLight16"/>
  <colors>
    <mruColors>
      <color rgb="FFFDD3DD"/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MLP!$D$5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MLP!$D$6:$D$30</c:f>
              <c:numCache>
                <c:formatCode>General</c:formatCode>
                <c:ptCount val="25"/>
                <c:pt idx="0">
                  <c:v>-1.218</c:v>
                </c:pt>
                <c:pt idx="1">
                  <c:v>-1.196</c:v>
                </c:pt>
                <c:pt idx="2">
                  <c:v>-1.1739999999999999</c:v>
                </c:pt>
                <c:pt idx="3">
                  <c:v>-1.089</c:v>
                </c:pt>
                <c:pt idx="4">
                  <c:v>-0.91900000000000004</c:v>
                </c:pt>
                <c:pt idx="5">
                  <c:v>-0.76300000000000001</c:v>
                </c:pt>
                <c:pt idx="6">
                  <c:v>-0.749</c:v>
                </c:pt>
                <c:pt idx="7">
                  <c:v>-0.69899999999999995</c:v>
                </c:pt>
                <c:pt idx="8">
                  <c:v>-0.49399999999999999</c:v>
                </c:pt>
                <c:pt idx="9">
                  <c:v>-0.46300000000000002</c:v>
                </c:pt>
                <c:pt idx="10">
                  <c:v>-0.433</c:v>
                </c:pt>
                <c:pt idx="11">
                  <c:v>-0.29399999999999998</c:v>
                </c:pt>
                <c:pt idx="12">
                  <c:v>-0.28699999999999998</c:v>
                </c:pt>
                <c:pt idx="13">
                  <c:v>-0.252</c:v>
                </c:pt>
                <c:pt idx="14">
                  <c:v>-9.6000000000000002E-2</c:v>
                </c:pt>
                <c:pt idx="15">
                  <c:v>0.17</c:v>
                </c:pt>
                <c:pt idx="16">
                  <c:v>0.37</c:v>
                </c:pt>
                <c:pt idx="17">
                  <c:v>0.374</c:v>
                </c:pt>
                <c:pt idx="18">
                  <c:v>0.499</c:v>
                </c:pt>
                <c:pt idx="19">
                  <c:v>0.81</c:v>
                </c:pt>
                <c:pt idx="20">
                  <c:v>0.99399999999999999</c:v>
                </c:pt>
                <c:pt idx="21">
                  <c:v>1.101</c:v>
                </c:pt>
                <c:pt idx="22">
                  <c:v>1.573</c:v>
                </c:pt>
                <c:pt idx="23">
                  <c:v>1.73</c:v>
                </c:pt>
                <c:pt idx="24">
                  <c:v>2.5059999999999998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5C-4DC1-B6C7-34AC28F2FC52}"/>
            </c:ext>
          </c:extLst>
        </c:ser>
        <c:ser>
          <c:idx val="3"/>
          <c:order val="1"/>
          <c:tx>
            <c:strRef>
              <c:f>MLP!$G$5</c:f>
              <c:strCache>
                <c:ptCount val="1"/>
                <c:pt idx="0">
                  <c:v>Y_hat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MLP!$G$6:$G$30</c:f>
              <c:numCache>
                <c:formatCode>0.000</c:formatCode>
                <c:ptCount val="25"/>
                <c:pt idx="0">
                  <c:v>-1.0656629415766781</c:v>
                </c:pt>
                <c:pt idx="1">
                  <c:v>-1.0661398189049884</c:v>
                </c:pt>
                <c:pt idx="2">
                  <c:v>-1.0092281251777364</c:v>
                </c:pt>
                <c:pt idx="3">
                  <c:v>-0.97661663784865083</c:v>
                </c:pt>
                <c:pt idx="4">
                  <c:v>-0.97147278029391715</c:v>
                </c:pt>
                <c:pt idx="5">
                  <c:v>-0.79362946432970194</c:v>
                </c:pt>
                <c:pt idx="6">
                  <c:v>-0.70279223427999593</c:v>
                </c:pt>
                <c:pt idx="7">
                  <c:v>-0.70847060127721528</c:v>
                </c:pt>
                <c:pt idx="8">
                  <c:v>-0.56430158242068051</c:v>
                </c:pt>
                <c:pt idx="9">
                  <c:v>-0.79167807238697452</c:v>
                </c:pt>
                <c:pt idx="10">
                  <c:v>-0.56609501359737191</c:v>
                </c:pt>
                <c:pt idx="11">
                  <c:v>-0.10009352751395117</c:v>
                </c:pt>
                <c:pt idx="12">
                  <c:v>-0.25776328949647231</c:v>
                </c:pt>
                <c:pt idx="13">
                  <c:v>-0.14027456270770244</c:v>
                </c:pt>
                <c:pt idx="14">
                  <c:v>-0.13685600400008857</c:v>
                </c:pt>
                <c:pt idx="15">
                  <c:v>0.26380764600581497</c:v>
                </c:pt>
                <c:pt idx="16">
                  <c:v>0.42279472331196821</c:v>
                </c:pt>
                <c:pt idx="17">
                  <c:v>0.4314171152709747</c:v>
                </c:pt>
                <c:pt idx="18">
                  <c:v>0.49673774987302188</c:v>
                </c:pt>
                <c:pt idx="19">
                  <c:v>0.7808851058872186</c:v>
                </c:pt>
                <c:pt idx="20">
                  <c:v>1.1556634213151424</c:v>
                </c:pt>
                <c:pt idx="21">
                  <c:v>1.1190726585417829</c:v>
                </c:pt>
                <c:pt idx="22">
                  <c:v>1.5255976045006117</c:v>
                </c:pt>
                <c:pt idx="23">
                  <c:v>1.7493822582074259</c:v>
                </c:pt>
                <c:pt idx="24">
                  <c:v>2.1490214572644395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5C-4DC1-B6C7-34AC28F2F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643103"/>
        <c:axId val="717646847"/>
      </c:lineChart>
      <c:catAx>
        <c:axId val="71764310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7646847"/>
        <c:crosses val="autoZero"/>
        <c:auto val="1"/>
        <c:lblAlgn val="ctr"/>
        <c:lblOffset val="100"/>
        <c:noMultiLvlLbl val="0"/>
      </c:catAx>
      <c:valAx>
        <c:axId val="7176468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7643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4</xdr:row>
          <xdr:rowOff>47625</xdr:rowOff>
        </xdr:from>
        <xdr:to>
          <xdr:col>23</xdr:col>
          <xdr:colOff>476250</xdr:colOff>
          <xdr:row>6</xdr:row>
          <xdr:rowOff>171450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38100</xdr:colOff>
      <xdr:row>11</xdr:row>
      <xdr:rowOff>80962</xdr:rowOff>
    </xdr:from>
    <xdr:to>
      <xdr:col>28</xdr:col>
      <xdr:colOff>342900</xdr:colOff>
      <xdr:row>25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2</xdr:row>
      <xdr:rowOff>57150</xdr:rowOff>
    </xdr:from>
    <xdr:to>
      <xdr:col>15</xdr:col>
      <xdr:colOff>322740</xdr:colOff>
      <xdr:row>34</xdr:row>
      <xdr:rowOff>113531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514350"/>
          <a:ext cx="8876190" cy="6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aldecy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Valdec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65EDD-8A66-400D-A1AC-285671C9CC56}">
  <sheetPr codeName="Planilha4"/>
  <dimension ref="A2:AB55"/>
  <sheetViews>
    <sheetView showGridLines="0" tabSelected="1" workbookViewId="0">
      <selection activeCell="C5" sqref="C5"/>
    </sheetView>
  </sheetViews>
  <sheetFormatPr defaultRowHeight="15" x14ac:dyDescent="0.25"/>
  <cols>
    <col min="1" max="1" width="9.140625" style="1"/>
    <col min="3" max="27" width="9.140625" style="1"/>
    <col min="29" max="16384" width="9.140625" style="1"/>
  </cols>
  <sheetData>
    <row r="2" spans="1:24" ht="21" x14ac:dyDescent="0.25">
      <c r="A2" s="26" t="s">
        <v>34</v>
      </c>
      <c r="B2" s="27"/>
      <c r="C2" s="27"/>
      <c r="D2" s="27"/>
      <c r="E2" s="27"/>
      <c r="F2" s="27"/>
      <c r="G2" s="27"/>
      <c r="H2" s="28"/>
    </row>
    <row r="3" spans="1:24" x14ac:dyDescent="0.25">
      <c r="W3" s="21" t="s">
        <v>18</v>
      </c>
      <c r="X3" s="21" t="s">
        <v>20</v>
      </c>
    </row>
    <row r="4" spans="1:24" x14ac:dyDescent="0.25">
      <c r="W4" s="22">
        <v>0.5</v>
      </c>
      <c r="X4" s="22">
        <v>500</v>
      </c>
    </row>
    <row r="5" spans="1:24" x14ac:dyDescent="0.25">
      <c r="C5" s="2"/>
      <c r="D5" s="14" t="s">
        <v>0</v>
      </c>
      <c r="E5" s="10" t="s">
        <v>1</v>
      </c>
      <c r="F5" s="10" t="s">
        <v>2</v>
      </c>
      <c r="G5" s="15" t="s">
        <v>21</v>
      </c>
    </row>
    <row r="6" spans="1:24" x14ac:dyDescent="0.25">
      <c r="C6" s="11">
        <v>1</v>
      </c>
      <c r="D6" s="13">
        <v>-1.218</v>
      </c>
      <c r="E6" s="12">
        <v>-1.157</v>
      </c>
      <c r="F6" s="12">
        <v>-1.552</v>
      </c>
      <c r="G6" s="17">
        <f t="shared" ref="G6:G30" si="0">(1/(1+EXP(-(E6*$M$14+F6*$M$17+$L$9))))*$R$15+(1/(1+EXP(-(E6*$M$23+F6*$M$26+$M$9))))*$R$24+$R$9</f>
        <v>-1.0656629415766781</v>
      </c>
    </row>
    <row r="7" spans="1:24" x14ac:dyDescent="0.25">
      <c r="C7" s="11">
        <v>2</v>
      </c>
      <c r="D7" s="13">
        <v>-1.196</v>
      </c>
      <c r="E7" s="12">
        <v>-1.157</v>
      </c>
      <c r="F7" s="12">
        <v>-1.5629999999999999</v>
      </c>
      <c r="G7" s="17">
        <f t="shared" si="0"/>
        <v>-1.0661398189049884</v>
      </c>
      <c r="L7" s="4">
        <v>1</v>
      </c>
      <c r="M7" s="4">
        <v>1</v>
      </c>
      <c r="R7" s="4">
        <v>1</v>
      </c>
    </row>
    <row r="8" spans="1:24" x14ac:dyDescent="0.25">
      <c r="C8" s="11">
        <v>3</v>
      </c>
      <c r="D8" s="13">
        <v>-1.1739999999999999</v>
      </c>
      <c r="E8" s="12">
        <v>-1.3420000000000001</v>
      </c>
      <c r="F8" s="12">
        <v>1.405</v>
      </c>
      <c r="G8" s="17">
        <f t="shared" si="0"/>
        <v>-1.0092281251777364</v>
      </c>
      <c r="L8" s="25" t="s">
        <v>31</v>
      </c>
      <c r="M8" s="25" t="s">
        <v>32</v>
      </c>
      <c r="R8" s="25" t="s">
        <v>33</v>
      </c>
    </row>
    <row r="9" spans="1:24" x14ac:dyDescent="0.25">
      <c r="C9" s="11">
        <v>4</v>
      </c>
      <c r="D9" s="13">
        <v>-1.089</v>
      </c>
      <c r="E9" s="12">
        <v>-1.157</v>
      </c>
      <c r="F9" s="12">
        <v>0.157</v>
      </c>
      <c r="G9" s="17">
        <f t="shared" si="0"/>
        <v>-0.97661663784865083</v>
      </c>
      <c r="L9" s="16">
        <f>E38</f>
        <v>0.22821779548115312</v>
      </c>
      <c r="M9" s="16">
        <f>E39</f>
        <v>-0.99459497383007323</v>
      </c>
      <c r="R9" s="16">
        <f>E42</f>
        <v>-1.8247804772515055</v>
      </c>
    </row>
    <row r="10" spans="1:24" x14ac:dyDescent="0.25">
      <c r="C10" s="11">
        <v>5</v>
      </c>
      <c r="D10" s="13">
        <v>-0.91900000000000004</v>
      </c>
      <c r="E10" s="12">
        <v>-1.157</v>
      </c>
      <c r="F10" s="12">
        <v>0.24</v>
      </c>
      <c r="G10" s="17">
        <f t="shared" si="0"/>
        <v>-0.97147278029391715</v>
      </c>
    </row>
    <row r="11" spans="1:24" x14ac:dyDescent="0.25">
      <c r="C11" s="11">
        <v>6</v>
      </c>
      <c r="D11" s="13">
        <v>-0.76300000000000001</v>
      </c>
      <c r="E11" s="12">
        <v>-0.78600000000000003</v>
      </c>
      <c r="F11" s="12">
        <v>-0.73099999999999998</v>
      </c>
      <c r="G11" s="17">
        <f t="shared" si="0"/>
        <v>-0.79362946432970194</v>
      </c>
    </row>
    <row r="12" spans="1:24" x14ac:dyDescent="0.25">
      <c r="C12" s="11">
        <v>7</v>
      </c>
      <c r="D12" s="13">
        <v>-0.749</v>
      </c>
      <c r="E12" s="12">
        <v>-0.78600000000000003</v>
      </c>
      <c r="F12" s="12">
        <v>0.44500000000000001</v>
      </c>
      <c r="G12" s="17">
        <f t="shared" si="0"/>
        <v>-0.70279223427999593</v>
      </c>
    </row>
    <row r="13" spans="1:24" x14ac:dyDescent="0.25">
      <c r="C13" s="11">
        <v>8</v>
      </c>
      <c r="D13" s="13">
        <v>-0.69899999999999995</v>
      </c>
      <c r="E13" s="12">
        <v>-0.78600000000000003</v>
      </c>
      <c r="F13" s="12">
        <v>0.378</v>
      </c>
      <c r="G13" s="17">
        <f t="shared" si="0"/>
        <v>-0.70847060127721528</v>
      </c>
      <c r="M13" s="6" t="s">
        <v>27</v>
      </c>
    </row>
    <row r="14" spans="1:24" x14ac:dyDescent="0.25">
      <c r="C14" s="11">
        <v>9</v>
      </c>
      <c r="D14" s="13">
        <v>-0.49399999999999999</v>
      </c>
      <c r="E14" s="12">
        <v>-0.60099999999999998</v>
      </c>
      <c r="F14" s="12">
        <v>0.378</v>
      </c>
      <c r="G14" s="17">
        <f t="shared" si="0"/>
        <v>-0.56430158242068051</v>
      </c>
      <c r="M14" s="23">
        <f>E34</f>
        <v>0.90551159012855975</v>
      </c>
      <c r="R14" s="6" t="s">
        <v>13</v>
      </c>
    </row>
    <row r="15" spans="1:24" x14ac:dyDescent="0.25">
      <c r="C15" s="11">
        <v>10</v>
      </c>
      <c r="D15" s="13">
        <v>-0.46300000000000002</v>
      </c>
      <c r="E15" s="12">
        <v>-0.78600000000000003</v>
      </c>
      <c r="F15" s="12">
        <v>-0.70299999999999996</v>
      </c>
      <c r="G15" s="17">
        <f t="shared" si="0"/>
        <v>-0.79167807238697452</v>
      </c>
      <c r="J15" s="4">
        <f ca="1">VLOOKUP(I20,C6:F30,3,FALSE)</f>
        <v>-4.3999999999999997E-2</v>
      </c>
      <c r="K15" s="3" t="s">
        <v>3</v>
      </c>
      <c r="O15" s="5" t="s">
        <v>8</v>
      </c>
      <c r="P15" s="16">
        <f ca="1">J15*M14+J24*M17+L9</f>
        <v>0.21156801534800057</v>
      </c>
      <c r="R15" s="24">
        <f>E40</f>
        <v>1.6461975163071905</v>
      </c>
    </row>
    <row r="16" spans="1:24" x14ac:dyDescent="0.25">
      <c r="C16" s="11">
        <v>11</v>
      </c>
      <c r="D16" s="13">
        <v>-0.433</v>
      </c>
      <c r="E16" s="12">
        <v>-0.41499999999999998</v>
      </c>
      <c r="F16" s="12">
        <v>-1.2849999999999999</v>
      </c>
      <c r="G16" s="17">
        <f t="shared" si="0"/>
        <v>-0.56609501359737191</v>
      </c>
      <c r="M16" s="6" t="s">
        <v>28</v>
      </c>
      <c r="O16" s="5" t="s">
        <v>22</v>
      </c>
      <c r="P16" s="16">
        <f ca="1">1/(1+EXP(-P15))</f>
        <v>0.55269559126031131</v>
      </c>
    </row>
    <row r="17" spans="3:21" x14ac:dyDescent="0.25">
      <c r="C17" s="11">
        <v>12</v>
      </c>
      <c r="D17" s="13">
        <v>-0.29399999999999998</v>
      </c>
      <c r="E17" s="12">
        <v>0.14099999999999999</v>
      </c>
      <c r="F17" s="12">
        <v>-1.2849999999999999</v>
      </c>
      <c r="G17" s="17">
        <f t="shared" si="0"/>
        <v>-0.10009352751395117</v>
      </c>
      <c r="M17" s="24">
        <f>E35</f>
        <v>-1.885587791260495E-2</v>
      </c>
    </row>
    <row r="18" spans="3:21" x14ac:dyDescent="0.25">
      <c r="C18" s="11">
        <v>13</v>
      </c>
      <c r="D18" s="13">
        <v>-0.28699999999999998</v>
      </c>
      <c r="E18" s="12">
        <v>-4.3999999999999997E-2</v>
      </c>
      <c r="F18" s="12">
        <v>-1.23</v>
      </c>
      <c r="G18" s="17">
        <f t="shared" si="0"/>
        <v>-0.25776328949647231</v>
      </c>
      <c r="T18" s="15" t="s">
        <v>21</v>
      </c>
      <c r="U18" s="17">
        <f ca="1">P16*R15+P25*R24+R9</f>
        <v>-0.25776328949647231</v>
      </c>
    </row>
    <row r="19" spans="3:21" x14ac:dyDescent="0.25">
      <c r="C19" s="11">
        <v>14</v>
      </c>
      <c r="D19" s="13">
        <v>-0.252</v>
      </c>
      <c r="E19" s="12">
        <v>-4.3999999999999997E-2</v>
      </c>
      <c r="F19" s="12">
        <v>-0.20399999999999999</v>
      </c>
      <c r="G19" s="17">
        <f t="shared" si="0"/>
        <v>-0.14027456270770244</v>
      </c>
      <c r="I19" s="8" t="s">
        <v>23</v>
      </c>
      <c r="T19" s="9" t="s">
        <v>0</v>
      </c>
      <c r="U19" s="20">
        <f ca="1">VLOOKUP(I20,C6:F30,2,FALSE)</f>
        <v>-0.28699999999999998</v>
      </c>
    </row>
    <row r="20" spans="3:21" x14ac:dyDescent="0.25">
      <c r="C20" s="11">
        <v>15</v>
      </c>
      <c r="D20" s="13">
        <v>-9.6000000000000002E-2</v>
      </c>
      <c r="E20" s="12">
        <v>-4.3999999999999997E-2</v>
      </c>
      <c r="F20" s="12">
        <v>-0.17599999999999999</v>
      </c>
      <c r="G20" s="17">
        <f t="shared" si="0"/>
        <v>-0.13685600400008857</v>
      </c>
      <c r="I20" s="7">
        <f ca="1">E45</f>
        <v>13</v>
      </c>
      <c r="T20" s="18" t="s">
        <v>17</v>
      </c>
      <c r="U20" s="19">
        <f ca="1">((U19-U18)^2)/2</f>
        <v>4.2739262053354237E-4</v>
      </c>
    </row>
    <row r="21" spans="3:21" x14ac:dyDescent="0.25">
      <c r="C21" s="11">
        <v>16</v>
      </c>
      <c r="D21" s="13">
        <v>0.17</v>
      </c>
      <c r="E21" s="12">
        <v>0.51200000000000001</v>
      </c>
      <c r="F21" s="12">
        <v>-1.1739999999999999</v>
      </c>
      <c r="G21" s="17">
        <f t="shared" si="0"/>
        <v>0.26380764600581497</v>
      </c>
    </row>
    <row r="22" spans="3:21" x14ac:dyDescent="0.25">
      <c r="C22" s="11">
        <v>17</v>
      </c>
      <c r="D22" s="13">
        <v>0.37</v>
      </c>
      <c r="E22" s="12">
        <v>0.32600000000000001</v>
      </c>
      <c r="F22" s="12">
        <v>1.155</v>
      </c>
      <c r="G22" s="17">
        <f t="shared" si="0"/>
        <v>0.42279472331196821</v>
      </c>
      <c r="M22" s="6" t="s">
        <v>29</v>
      </c>
    </row>
    <row r="23" spans="3:21" x14ac:dyDescent="0.25">
      <c r="C23" s="11">
        <v>18</v>
      </c>
      <c r="D23" s="13">
        <v>0.374</v>
      </c>
      <c r="E23" s="12">
        <v>0.32600000000000001</v>
      </c>
      <c r="F23" s="12">
        <v>1.21</v>
      </c>
      <c r="G23" s="17">
        <f t="shared" si="0"/>
        <v>0.4314171152709747</v>
      </c>
      <c r="M23" s="23">
        <f>E36</f>
        <v>0.96171652628612625</v>
      </c>
      <c r="R23" s="6" t="s">
        <v>14</v>
      </c>
    </row>
    <row r="24" spans="3:21" x14ac:dyDescent="0.25">
      <c r="C24" s="11">
        <v>19</v>
      </c>
      <c r="D24" s="13">
        <v>0.499</v>
      </c>
      <c r="E24" s="12">
        <v>0.51200000000000001</v>
      </c>
      <c r="F24" s="12">
        <v>0.378</v>
      </c>
      <c r="G24" s="17">
        <f t="shared" si="0"/>
        <v>0.49673774987302188</v>
      </c>
      <c r="J24" s="4">
        <f ca="1">VLOOKUP(I20,C6:F30,4,FALSE)</f>
        <v>-1.23</v>
      </c>
      <c r="K24" s="3" t="s">
        <v>4</v>
      </c>
      <c r="O24" s="5" t="s">
        <v>9</v>
      </c>
      <c r="P24" s="16">
        <f ca="1">J15*M23+J24*M26+M9</f>
        <v>-1.3096078952362</v>
      </c>
      <c r="R24" s="24">
        <f>E41</f>
        <v>3.0918064331035562</v>
      </c>
    </row>
    <row r="25" spans="3:21" x14ac:dyDescent="0.25">
      <c r="C25" s="11">
        <v>20</v>
      </c>
      <c r="D25" s="13">
        <v>0.81</v>
      </c>
      <c r="E25" s="12">
        <v>0.69699999999999995</v>
      </c>
      <c r="F25" s="12">
        <v>0.93300000000000005</v>
      </c>
      <c r="G25" s="17">
        <f t="shared" si="0"/>
        <v>0.7808851058872186</v>
      </c>
      <c r="M25" s="6" t="s">
        <v>30</v>
      </c>
      <c r="O25" s="5" t="s">
        <v>10</v>
      </c>
      <c r="P25" s="16">
        <f ca="1">1/(1+EXP(-P24))</f>
        <v>0.21255246483483967</v>
      </c>
    </row>
    <row r="26" spans="3:21" x14ac:dyDescent="0.25">
      <c r="C26" s="11">
        <v>21</v>
      </c>
      <c r="D26" s="13">
        <v>0.99399999999999999</v>
      </c>
      <c r="E26" s="12">
        <v>1.2529999999999999</v>
      </c>
      <c r="F26" s="12">
        <v>-0.23200000000000001</v>
      </c>
      <c r="G26" s="17">
        <f t="shared" si="0"/>
        <v>1.1556634213151424</v>
      </c>
      <c r="M26" s="24">
        <f>E37</f>
        <v>0.22170519857685966</v>
      </c>
    </row>
    <row r="27" spans="3:21" x14ac:dyDescent="0.25">
      <c r="C27" s="11">
        <v>22</v>
      </c>
      <c r="D27" s="13">
        <v>1.101</v>
      </c>
      <c r="E27" s="12">
        <v>1.2529999999999999</v>
      </c>
      <c r="F27" s="12">
        <v>-0.45300000000000001</v>
      </c>
      <c r="G27" s="17">
        <f t="shared" si="0"/>
        <v>1.1190726585417829</v>
      </c>
    </row>
    <row r="28" spans="3:21" x14ac:dyDescent="0.25">
      <c r="C28" s="11">
        <v>23</v>
      </c>
      <c r="D28" s="13">
        <v>1.573</v>
      </c>
      <c r="E28" s="12">
        <v>1.4379999999999999</v>
      </c>
      <c r="F28" s="12">
        <v>0.98899999999999999</v>
      </c>
      <c r="G28" s="17">
        <f t="shared" si="0"/>
        <v>1.5255976045006117</v>
      </c>
    </row>
    <row r="29" spans="3:21" x14ac:dyDescent="0.25">
      <c r="C29" s="11">
        <v>24</v>
      </c>
      <c r="D29" s="13">
        <v>1.73</v>
      </c>
      <c r="E29" s="12">
        <v>1.6240000000000001</v>
      </c>
      <c r="F29" s="12">
        <v>1.4319999999999999</v>
      </c>
      <c r="G29" s="17">
        <f t="shared" si="0"/>
        <v>1.7493822582074259</v>
      </c>
    </row>
    <row r="30" spans="3:21" x14ac:dyDescent="0.25">
      <c r="C30" s="11">
        <v>25</v>
      </c>
      <c r="D30" s="13">
        <v>2.5059999999999998</v>
      </c>
      <c r="E30" s="12">
        <v>2.1800000000000002</v>
      </c>
      <c r="F30" s="12">
        <v>1.488</v>
      </c>
      <c r="G30" s="17">
        <f t="shared" si="0"/>
        <v>2.1490214572644395</v>
      </c>
    </row>
    <row r="32" spans="3:21" x14ac:dyDescent="0.25">
      <c r="F32" s="18" t="s">
        <v>26</v>
      </c>
      <c r="G32" s="19">
        <f>SUMXMY2(D6:D30,G6:G30)/25</f>
        <v>1.7652532184131528E-2</v>
      </c>
    </row>
    <row r="34" spans="4:7" hidden="1" x14ac:dyDescent="0.25">
      <c r="D34" s="1" t="s">
        <v>5</v>
      </c>
      <c r="E34" s="1">
        <v>0.90551159012855975</v>
      </c>
      <c r="F34" s="1">
        <f ca="1">E44*P16*(1-P16)*R15*J15*P16*(1-P16)</f>
        <v>1.2943194698191682E-4</v>
      </c>
      <c r="G34" s="1">
        <f t="shared" ref="G34:G42" ca="1" si="1">E34+$W$4*F34</f>
        <v>0.90557630610205075</v>
      </c>
    </row>
    <row r="35" spans="4:7" hidden="1" x14ac:dyDescent="0.25">
      <c r="D35" s="1" t="s">
        <v>6</v>
      </c>
      <c r="E35" s="1">
        <v>-1.885587791260495E-2</v>
      </c>
      <c r="F35" s="1">
        <f ca="1">E44*P16*(1-P16)*R15*J24*P16*(1-P16)</f>
        <v>3.6182112451763116E-3</v>
      </c>
      <c r="G35" s="1">
        <f t="shared" ca="1" si="1"/>
        <v>-1.7046772290016794E-2</v>
      </c>
    </row>
    <row r="36" spans="4:7" hidden="1" x14ac:dyDescent="0.25">
      <c r="D36" s="1" t="s">
        <v>7</v>
      </c>
      <c r="E36" s="1">
        <v>0.96171652628612625</v>
      </c>
      <c r="F36" s="1">
        <f ca="1">E44*P25*(1-P25)*R24*J15*P25*(1-P25)</f>
        <v>1.1142150682602223E-4</v>
      </c>
      <c r="G36" s="1">
        <f t="shared" ca="1" si="1"/>
        <v>0.96177223703953929</v>
      </c>
    </row>
    <row r="37" spans="4:7" hidden="1" x14ac:dyDescent="0.25">
      <c r="D37" s="1" t="s">
        <v>16</v>
      </c>
      <c r="E37" s="1">
        <v>0.22170519857685966</v>
      </c>
      <c r="F37" s="1">
        <f ca="1">E44*P25*(1-P25)*R24*J24*P25*(1-P25)</f>
        <v>3.1147375771819852E-3</v>
      </c>
      <c r="G37" s="1">
        <f t="shared" ca="1" si="1"/>
        <v>0.22326256736545066</v>
      </c>
    </row>
    <row r="38" spans="4:7" hidden="1" x14ac:dyDescent="0.25">
      <c r="D38" s="1" t="s">
        <v>11</v>
      </c>
      <c r="E38" s="1">
        <v>0.22821779548115312</v>
      </c>
      <c r="F38" s="1">
        <f ca="1">E44*P16*(1-P16)*R15*P16*(1-P16)</f>
        <v>-2.9416351586799283E-3</v>
      </c>
      <c r="G38" s="1">
        <f t="shared" ca="1" si="1"/>
        <v>0.22674697790181314</v>
      </c>
    </row>
    <row r="39" spans="4:7" hidden="1" x14ac:dyDescent="0.25">
      <c r="D39" s="1" t="s">
        <v>12</v>
      </c>
      <c r="E39" s="1">
        <v>-0.99459497383007323</v>
      </c>
      <c r="F39" s="1">
        <f ca="1">E44*P25*(1-P25)*R24*P25*(1-P25)</f>
        <v>-2.5323069733186872E-3</v>
      </c>
      <c r="G39" s="1">
        <f t="shared" ca="1" si="1"/>
        <v>-0.9958611273167326</v>
      </c>
    </row>
    <row r="40" spans="4:7" hidden="1" x14ac:dyDescent="0.25">
      <c r="D40" s="1" t="s">
        <v>13</v>
      </c>
      <c r="E40" s="1">
        <v>1.6461975163071905</v>
      </c>
      <c r="F40" s="1">
        <f ca="1">E44*P16</f>
        <v>-1.6159000998253775E-2</v>
      </c>
      <c r="G40" s="1">
        <f t="shared" ca="1" si="1"/>
        <v>1.6381180158080635</v>
      </c>
    </row>
    <row r="41" spans="4:7" hidden="1" x14ac:dyDescent="0.25">
      <c r="D41" s="1" t="s">
        <v>14</v>
      </c>
      <c r="E41" s="1">
        <v>3.0918064331035562</v>
      </c>
      <c r="F41" s="1">
        <f ca="1">E44*P25</f>
        <v>-6.2143348811874513E-3</v>
      </c>
      <c r="G41" s="1">
        <f t="shared" ca="1" si="1"/>
        <v>3.0886992656629624</v>
      </c>
    </row>
    <row r="42" spans="4:7" hidden="1" x14ac:dyDescent="0.25">
      <c r="D42" s="1" t="s">
        <v>15</v>
      </c>
      <c r="E42" s="1">
        <v>-1.8247804772515055</v>
      </c>
      <c r="F42" s="1">
        <f ca="1">E44*1</f>
        <v>-2.9236710503527663E-2</v>
      </c>
      <c r="G42" s="1">
        <f t="shared" ca="1" si="1"/>
        <v>-1.8393988325032693</v>
      </c>
    </row>
    <row r="43" spans="4:7" hidden="1" x14ac:dyDescent="0.25">
      <c r="D43" s="1" t="s">
        <v>24</v>
      </c>
      <c r="E43" s="1">
        <f ca="1">U20</f>
        <v>4.2739262053354237E-4</v>
      </c>
    </row>
    <row r="44" spans="4:7" hidden="1" x14ac:dyDescent="0.25">
      <c r="D44" s="1" t="s">
        <v>25</v>
      </c>
      <c r="E44" s="1">
        <f ca="1">U19-U18</f>
        <v>-2.9236710503527663E-2</v>
      </c>
    </row>
    <row r="45" spans="4:7" hidden="1" x14ac:dyDescent="0.25">
      <c r="D45" s="1" t="s">
        <v>19</v>
      </c>
      <c r="E45" s="1">
        <f ca="1">RANDBETWEEN(1,25)</f>
        <v>13</v>
      </c>
    </row>
    <row r="46" spans="4:7" hidden="1" x14ac:dyDescent="0.25"/>
    <row r="47" spans="4:7" hidden="1" x14ac:dyDescent="0.25">
      <c r="D47" s="1" t="s">
        <v>5</v>
      </c>
      <c r="E47" s="1">
        <v>0.8</v>
      </c>
    </row>
    <row r="48" spans="4:7" hidden="1" x14ac:dyDescent="0.25">
      <c r="D48" s="1" t="s">
        <v>6</v>
      </c>
      <c r="E48" s="1">
        <v>0.52100000000000002</v>
      </c>
    </row>
    <row r="49" spans="4:5" hidden="1" x14ac:dyDescent="0.25">
      <c r="D49" s="1" t="s">
        <v>7</v>
      </c>
      <c r="E49" s="1">
        <v>0.83399999999999996</v>
      </c>
    </row>
    <row r="50" spans="4:5" hidden="1" x14ac:dyDescent="0.25">
      <c r="D50" s="1" t="s">
        <v>16</v>
      </c>
      <c r="E50" s="1">
        <v>0.77700000000000002</v>
      </c>
    </row>
    <row r="51" spans="4:5" hidden="1" x14ac:dyDescent="0.25">
      <c r="D51" s="1" t="s">
        <v>11</v>
      </c>
      <c r="E51" s="1">
        <v>0.98699999999999999</v>
      </c>
    </row>
    <row r="52" spans="4:5" hidden="1" x14ac:dyDescent="0.25">
      <c r="D52" s="1" t="s">
        <v>12</v>
      </c>
      <c r="E52" s="1">
        <v>0.57899999999999996</v>
      </c>
    </row>
    <row r="53" spans="4:5" hidden="1" x14ac:dyDescent="0.25">
      <c r="D53" s="1" t="s">
        <v>13</v>
      </c>
      <c r="E53" s="1">
        <v>0.255</v>
      </c>
    </row>
    <row r="54" spans="4:5" hidden="1" x14ac:dyDescent="0.25">
      <c r="D54" s="1" t="s">
        <v>14</v>
      </c>
      <c r="E54" s="1">
        <v>0.34300000000000003</v>
      </c>
    </row>
    <row r="55" spans="4:5" hidden="1" x14ac:dyDescent="0.25">
      <c r="D55" s="1" t="s">
        <v>15</v>
      </c>
      <c r="E55" s="1">
        <v>0.10199999999999999</v>
      </c>
    </row>
  </sheetData>
  <mergeCells count="1">
    <mergeCell ref="A2:H2"/>
  </mergeCells>
  <conditionalFormatting sqref="E6:F30">
    <cfRule type="expression" dxfId="0" priority="1">
      <formula>$C6=$I$20</formula>
    </cfRule>
  </conditionalFormatting>
  <hyperlinks>
    <hyperlink ref="A2" r:id="rId1" xr:uid="{ADC2E231-C77B-4D30-8274-5B18194442DF}"/>
  </hyperlinks>
  <pageMargins left="0.511811024" right="0.511811024" top="0.78740157499999996" bottom="0.78740157499999996" header="0.31496062000000002" footer="0.31496062000000002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r:id="rId5">
            <anchor moveWithCells="1">
              <from>
                <xdr:col>22</xdr:col>
                <xdr:colOff>180975</xdr:colOff>
                <xdr:row>4</xdr:row>
                <xdr:rowOff>47625</xdr:rowOff>
              </from>
              <to>
                <xdr:col>23</xdr:col>
                <xdr:colOff>476250</xdr:colOff>
                <xdr:row>6</xdr:row>
                <xdr:rowOff>171450</xdr:rowOff>
              </to>
            </anchor>
          </controlPr>
        </control>
      </mc:Choice>
      <mc:Fallback>
        <control shapeId="614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C26-17E4-4377-A000-3E3FD289A7CC}">
  <sheetPr codeName="Planilha1"/>
  <dimension ref="A2:H2"/>
  <sheetViews>
    <sheetView showGridLines="0" workbookViewId="0">
      <selection activeCell="T17" sqref="T17"/>
    </sheetView>
  </sheetViews>
  <sheetFormatPr defaultRowHeight="15" x14ac:dyDescent="0.25"/>
  <sheetData>
    <row r="2" spans="1:8" ht="21" x14ac:dyDescent="0.25">
      <c r="A2" s="26" t="s">
        <v>34</v>
      </c>
      <c r="B2" s="27"/>
      <c r="C2" s="27"/>
      <c r="D2" s="27"/>
      <c r="E2" s="27"/>
      <c r="F2" s="27"/>
      <c r="G2" s="27"/>
      <c r="H2" s="28"/>
    </row>
  </sheetData>
  <mergeCells count="1">
    <mergeCell ref="A2:H2"/>
  </mergeCells>
  <hyperlinks>
    <hyperlink ref="A2" r:id="rId1" xr:uid="{C1351C71-0436-4BBE-A00E-7C11D01E0930}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MLP</vt:lpstr>
      <vt:lpstr>MLP-Architecture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2021-11-04T12:16:31Z</dcterms:modified>
</cp:coreProperties>
</file>