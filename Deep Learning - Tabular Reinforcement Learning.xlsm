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filterPrivacy="1" codeName="EstaPastaDeTrabalho"/>
  <xr:revisionPtr revIDLastSave="0" documentId="13_ncr:1_{0C4F370D-F493-40FC-93D2-B327EA108B1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QL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2" i="2" l="1"/>
  <c r="L4" i="2" l="1"/>
  <c r="L13" i="2" l="1"/>
  <c r="M13" i="2"/>
  <c r="L14" i="2"/>
  <c r="L15" i="2"/>
  <c r="O15" i="2"/>
  <c r="N12" i="2"/>
  <c r="L12" i="2"/>
  <c r="O11" i="2"/>
  <c r="N11" i="2"/>
  <c r="N9" i="2"/>
  <c r="O8" i="2"/>
  <c r="O7" i="2"/>
  <c r="M7" i="2"/>
  <c r="M6" i="2"/>
  <c r="M5" i="2"/>
  <c r="L5" i="2"/>
  <c r="N4" i="2"/>
  <c r="M4" i="2"/>
  <c r="Q18" i="2"/>
  <c r="Q23" i="2"/>
  <c r="N15" i="2"/>
  <c r="M15" i="2"/>
  <c r="O14" i="2"/>
  <c r="N14" i="2"/>
  <c r="M14" i="2"/>
  <c r="O13" i="2"/>
  <c r="N13" i="2"/>
  <c r="O12" i="2"/>
  <c r="M12" i="2"/>
  <c r="M11" i="2"/>
  <c r="L11" i="2"/>
  <c r="O9" i="2"/>
  <c r="M9" i="2"/>
  <c r="L9" i="2"/>
  <c r="N8" i="2"/>
  <c r="M8" i="2"/>
  <c r="L8" i="2"/>
  <c r="AE14" i="2"/>
  <c r="AD14" i="2"/>
  <c r="AC14" i="2"/>
  <c r="AB14" i="2"/>
  <c r="N7" i="2"/>
  <c r="L7" i="2"/>
  <c r="O6" i="2"/>
  <c r="N6" i="2"/>
  <c r="L6" i="2"/>
  <c r="AD12" i="2"/>
  <c r="AB12" i="2"/>
  <c r="O5" i="2"/>
  <c r="N5" i="2"/>
  <c r="O4" i="2"/>
  <c r="AD10" i="2"/>
  <c r="AC10" i="2"/>
  <c r="AB10" i="2"/>
  <c r="Q20" i="2" l="1"/>
  <c r="Q19" i="2"/>
</calcChain>
</file>

<file path=xl/sharedStrings.xml><?xml version="1.0" encoding="utf-8"?>
<sst xmlns="http://schemas.openxmlformats.org/spreadsheetml/2006/main" count="84" uniqueCount="27">
  <si>
    <t>L</t>
  </si>
  <si>
    <t>R</t>
  </si>
  <si>
    <t>Q</t>
  </si>
  <si>
    <t xml:space="preserve">   Start</t>
  </si>
  <si>
    <t xml:space="preserve">   Fire</t>
  </si>
  <si>
    <t>Cut-off</t>
  </si>
  <si>
    <t>Rand</t>
  </si>
  <si>
    <t>U</t>
  </si>
  <si>
    <t>D</t>
  </si>
  <si>
    <t xml:space="preserve">   Block</t>
  </si>
  <si>
    <t xml:space="preserve">   End</t>
  </si>
  <si>
    <t>STATE</t>
  </si>
  <si>
    <t>i</t>
  </si>
  <si>
    <t>Alpha</t>
  </si>
  <si>
    <t>Gama</t>
  </si>
  <si>
    <t>Step</t>
  </si>
  <si>
    <t>Reward</t>
  </si>
  <si>
    <t>Fire</t>
  </si>
  <si>
    <t>ACTION</t>
  </si>
  <si>
    <t>RANDOM STATE</t>
  </si>
  <si>
    <t>NEW STATE</t>
  </si>
  <si>
    <t>S</t>
  </si>
  <si>
    <t>A(move)</t>
  </si>
  <si>
    <t>A(number)</t>
  </si>
  <si>
    <t>S1</t>
  </si>
  <si>
    <t>Iterations</t>
  </si>
  <si>
    <t>https://github.com/Valdecy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</si>
</sst>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0"/>
      <name val="Times New Roman"/>
      <family val="1"/>
    </font>
    <font>
      <b/>
      <sz val="11"/>
      <color rgb="FFFFFF00"/>
      <name val="Times New Roman"/>
      <family val="1"/>
    </font>
    <font>
      <sz val="11"/>
      <color theme="1"/>
      <name val="Wingdings"/>
      <charset val="2"/>
    </font>
    <font>
      <u/>
      <sz val="11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AD6FA"/>
        <bgColor indexed="64"/>
      </patternFill>
    </fill>
    <fill>
      <patternFill patternType="solid">
        <fgColor rgb="FFBDBDFF"/>
        <bgColor indexed="64"/>
      </patternFill>
    </fill>
  </fills>
  <borders count="2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5">
    <xf numFmtId="0" fontId="0" fillId="0" borderId="0" xfId="0"/>
    <xf numFmtId="0" fontId="1" fillId="8" borderId="1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0" fontId="1" fillId="0" borderId="5" xfId="0" applyFont="1" applyBorder="1" applyAlignment="1">
      <alignment horizontal="left" vertical="center"/>
    </xf>
    <xf numFmtId="164" fontId="1" fillId="0" borderId="7" xfId="0" applyNumberFormat="1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12" borderId="0" xfId="0" applyFont="1" applyFill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0" fontId="1" fillId="4" borderId="10" xfId="0" applyFont="1" applyFill="1" applyBorder="1" applyAlignment="1">
      <alignment horizontal="center" vertical="center"/>
    </xf>
    <xf numFmtId="0" fontId="1" fillId="16" borderId="10" xfId="0" applyFont="1" applyFill="1" applyBorder="1" applyAlignment="1">
      <alignment horizontal="center" vertical="center"/>
    </xf>
    <xf numFmtId="0" fontId="1" fillId="12" borderId="11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18" borderId="10" xfId="0" applyFont="1" applyFill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1" fillId="9" borderId="15" xfId="0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12" borderId="17" xfId="0" applyFont="1" applyFill="1" applyBorder="1" applyAlignment="1">
      <alignment horizontal="center" vertical="center"/>
    </xf>
    <xf numFmtId="0" fontId="1" fillId="12" borderId="18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left" vertical="center"/>
    </xf>
    <xf numFmtId="0" fontId="1" fillId="14" borderId="23" xfId="0" applyFont="1" applyFill="1" applyBorder="1" applyAlignment="1">
      <alignment horizontal="left" vertical="center"/>
    </xf>
    <xf numFmtId="0" fontId="1" fillId="3" borderId="23" xfId="0" applyFont="1" applyFill="1" applyBorder="1" applyAlignment="1">
      <alignment horizontal="left" vertical="center"/>
    </xf>
    <xf numFmtId="0" fontId="1" fillId="12" borderId="23" xfId="0" applyFont="1" applyFill="1" applyBorder="1" applyAlignment="1">
      <alignment horizontal="left" vertical="center"/>
    </xf>
    <xf numFmtId="0" fontId="1" fillId="4" borderId="23" xfId="0" applyFont="1" applyFill="1" applyBorder="1" applyAlignment="1">
      <alignment horizontal="left" vertical="center"/>
    </xf>
    <xf numFmtId="0" fontId="1" fillId="13" borderId="24" xfId="0" applyFont="1" applyFill="1" applyBorder="1" applyAlignment="1">
      <alignment horizontal="left" vertical="center"/>
    </xf>
    <xf numFmtId="0" fontId="1" fillId="10" borderId="15" xfId="0" applyFont="1" applyFill="1" applyBorder="1" applyAlignment="1">
      <alignment horizontal="center" vertical="center"/>
    </xf>
    <xf numFmtId="0" fontId="1" fillId="10" borderId="16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0" fontId="1" fillId="8" borderId="20" xfId="0" applyFont="1" applyFill="1" applyBorder="1" applyAlignment="1">
      <alignment horizontal="center" vertical="center"/>
    </xf>
    <xf numFmtId="0" fontId="1" fillId="16" borderId="15" xfId="0" applyFont="1" applyFill="1" applyBorder="1" applyAlignment="1">
      <alignment horizontal="center" vertical="center"/>
    </xf>
    <xf numFmtId="0" fontId="1" fillId="16" borderId="16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18" borderId="15" xfId="0" applyFont="1" applyFill="1" applyBorder="1" applyAlignment="1">
      <alignment horizontal="center" vertical="center"/>
    </xf>
    <xf numFmtId="0" fontId="1" fillId="18" borderId="16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8" borderId="19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165" fontId="1" fillId="5" borderId="15" xfId="0" applyNumberFormat="1" applyFont="1" applyFill="1" applyBorder="1" applyAlignment="1">
      <alignment horizontal="center" vertical="center"/>
    </xf>
    <xf numFmtId="165" fontId="1" fillId="5" borderId="10" xfId="0" applyNumberFormat="1" applyFont="1" applyFill="1" applyBorder="1" applyAlignment="1">
      <alignment horizontal="center" vertical="center"/>
    </xf>
    <xf numFmtId="165" fontId="1" fillId="5" borderId="16" xfId="0" applyNumberFormat="1" applyFont="1" applyFill="1" applyBorder="1" applyAlignment="1">
      <alignment horizontal="center" vertical="center"/>
    </xf>
    <xf numFmtId="165" fontId="1" fillId="12" borderId="17" xfId="0" applyNumberFormat="1" applyFont="1" applyFill="1" applyBorder="1" applyAlignment="1">
      <alignment horizontal="center" vertical="center"/>
    </xf>
    <xf numFmtId="165" fontId="1" fillId="12" borderId="11" xfId="0" applyNumberFormat="1" applyFont="1" applyFill="1" applyBorder="1" applyAlignment="1">
      <alignment horizontal="center" vertical="center"/>
    </xf>
    <xf numFmtId="165" fontId="1" fillId="12" borderId="18" xfId="0" applyNumberFormat="1" applyFont="1" applyFill="1" applyBorder="1" applyAlignment="1">
      <alignment horizontal="center" vertical="center"/>
    </xf>
    <xf numFmtId="165" fontId="1" fillId="5" borderId="19" xfId="0" applyNumberFormat="1" applyFont="1" applyFill="1" applyBorder="1" applyAlignment="1">
      <alignment horizontal="center" vertical="center"/>
    </xf>
    <xf numFmtId="165" fontId="1" fillId="5" borderId="20" xfId="0" applyNumberFormat="1" applyFont="1" applyFill="1" applyBorder="1" applyAlignment="1">
      <alignment horizontal="center" vertical="center"/>
    </xf>
    <xf numFmtId="165" fontId="1" fillId="5" borderId="2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3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4" xfId="0" applyFont="1" applyFill="1" applyBorder="1" applyAlignment="1">
      <alignment horizontal="center" vertical="center"/>
    </xf>
    <xf numFmtId="0" fontId="1" fillId="15" borderId="12" xfId="0" applyFont="1" applyFill="1" applyBorder="1" applyAlignment="1">
      <alignment horizontal="center" vertical="center"/>
    </xf>
    <xf numFmtId="0" fontId="1" fillId="15" borderId="13" xfId="0" applyFont="1" applyFill="1" applyBorder="1" applyAlignment="1">
      <alignment horizontal="center" vertical="center"/>
    </xf>
    <xf numFmtId="0" fontId="1" fillId="15" borderId="14" xfId="0" applyFont="1" applyFill="1" applyBorder="1" applyAlignment="1">
      <alignment horizontal="center" vertical="center"/>
    </xf>
    <xf numFmtId="0" fontId="1" fillId="17" borderId="12" xfId="0" applyFont="1" applyFill="1" applyBorder="1" applyAlignment="1">
      <alignment horizontal="center" vertical="center"/>
    </xf>
    <xf numFmtId="0" fontId="1" fillId="17" borderId="13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1" fillId="14" borderId="10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12" borderId="10" xfId="0" applyFont="1" applyFill="1" applyBorder="1" applyAlignment="1">
      <alignment horizontal="center" vertical="center"/>
    </xf>
    <xf numFmtId="0" fontId="4" fillId="14" borderId="10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6" fillId="0" borderId="25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26" xfId="1" applyFont="1" applyBorder="1" applyAlignment="1">
      <alignment horizontal="center" vertical="center"/>
    </xf>
    <xf numFmtId="0" fontId="1" fillId="10" borderId="9" xfId="0" applyFont="1" applyFill="1" applyBorder="1" applyAlignment="1">
      <alignment horizontal="left" vertical="center"/>
    </xf>
    <xf numFmtId="0" fontId="1" fillId="10" borderId="5" xfId="0" applyFont="1" applyFill="1" applyBorder="1" applyAlignment="1">
      <alignment horizontal="left" vertical="center"/>
    </xf>
    <xf numFmtId="0" fontId="1" fillId="10" borderId="6" xfId="0" applyFont="1" applyFill="1" applyBorder="1" applyAlignment="1">
      <alignment horizontal="left" vertical="center"/>
    </xf>
    <xf numFmtId="0" fontId="1" fillId="8" borderId="8" xfId="0" applyFont="1" applyFill="1" applyBorder="1" applyAlignment="1">
      <alignment horizontal="right"/>
    </xf>
    <xf numFmtId="0" fontId="1" fillId="8" borderId="3" xfId="0" applyFont="1" applyFill="1" applyBorder="1" applyAlignment="1">
      <alignment horizontal="right"/>
    </xf>
    <xf numFmtId="0" fontId="1" fillId="8" borderId="4" xfId="0" applyFont="1" applyFill="1" applyBorder="1" applyAlignment="1">
      <alignment horizontal="right"/>
    </xf>
    <xf numFmtId="0" fontId="1" fillId="19" borderId="8" xfId="0" applyFont="1" applyFill="1" applyBorder="1" applyAlignment="1">
      <alignment horizontal="right" vertical="center"/>
    </xf>
    <xf numFmtId="0" fontId="1" fillId="19" borderId="3" xfId="0" applyFont="1" applyFill="1" applyBorder="1" applyAlignment="1">
      <alignment horizontal="right" vertical="center"/>
    </xf>
    <xf numFmtId="0" fontId="1" fillId="19" borderId="4" xfId="0" applyFont="1" applyFill="1" applyBorder="1" applyAlignment="1">
      <alignment horizontal="right" vertical="center"/>
    </xf>
    <xf numFmtId="0" fontId="1" fillId="20" borderId="9" xfId="0" applyFont="1" applyFill="1" applyBorder="1" applyAlignment="1">
      <alignment horizontal="left" vertical="center"/>
    </xf>
    <xf numFmtId="0" fontId="1" fillId="20" borderId="5" xfId="0" applyFont="1" applyFill="1" applyBorder="1" applyAlignment="1">
      <alignment horizontal="left" vertical="center"/>
    </xf>
    <xf numFmtId="0" fontId="1" fillId="20" borderId="6" xfId="0" applyFont="1" applyFill="1" applyBorder="1" applyAlignment="1">
      <alignment horizontal="left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BDBDFF"/>
      <color rgb="FFEAD6FA"/>
      <color rgb="FF898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16</xdr:row>
          <xdr:rowOff>85725</xdr:rowOff>
        </xdr:from>
        <xdr:to>
          <xdr:col>8</xdr:col>
          <xdr:colOff>47625</xdr:colOff>
          <xdr:row>18</xdr:row>
          <xdr:rowOff>85725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Valdecy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02EC7-0C41-4665-BA56-CFB227A7CDDE}">
  <sheetPr codeName="Planilha2"/>
  <dimension ref="A1:AE38"/>
  <sheetViews>
    <sheetView showGridLines="0" tabSelected="1" zoomScale="120" zoomScaleNormal="120" workbookViewId="0">
      <selection activeCell="Z27" sqref="Z27"/>
    </sheetView>
  </sheetViews>
  <sheetFormatPr defaultRowHeight="15" x14ac:dyDescent="0.25"/>
  <cols>
    <col min="1" max="1" width="1" style="14" customWidth="1"/>
    <col min="2" max="5" width="10.28515625" style="14" customWidth="1"/>
    <col min="6" max="6" width="4.28515625" style="14" customWidth="1"/>
    <col min="7" max="7" width="10.28515625" style="14" customWidth="1"/>
    <col min="8" max="11" width="8.42578125" style="14" customWidth="1"/>
    <col min="12" max="23" width="8.42578125" style="14" hidden="1" customWidth="1"/>
    <col min="24" max="24" width="4.28515625" style="14" hidden="1" customWidth="1"/>
    <col min="25" max="25" width="4.28515625" style="67" customWidth="1"/>
    <col min="26" max="28" width="10.28515625" style="13" customWidth="1"/>
    <col min="29" max="29" width="10.28515625" style="14" customWidth="1"/>
    <col min="30" max="16384" width="9.140625" style="14"/>
  </cols>
  <sheetData>
    <row r="1" spans="1:31" ht="15.75" thickBot="1" x14ac:dyDescent="0.3">
      <c r="H1" s="68"/>
      <c r="I1" s="68"/>
      <c r="J1" s="68"/>
      <c r="K1" s="68"/>
      <c r="L1" s="68"/>
      <c r="M1" s="68"/>
      <c r="N1" s="68"/>
      <c r="O1" s="68"/>
      <c r="P1" s="14">
        <v>1</v>
      </c>
      <c r="Q1" s="14">
        <v>2</v>
      </c>
      <c r="R1" s="14">
        <v>3</v>
      </c>
      <c r="S1" s="14">
        <v>4</v>
      </c>
      <c r="T1" s="14">
        <v>1</v>
      </c>
      <c r="U1" s="14">
        <v>2</v>
      </c>
      <c r="V1" s="14">
        <v>3</v>
      </c>
      <c r="W1" s="14">
        <v>4</v>
      </c>
    </row>
    <row r="2" spans="1:31" ht="21.75" thickBot="1" x14ac:dyDescent="0.3">
      <c r="B2" s="100" t="s">
        <v>26</v>
      </c>
      <c r="C2" s="101"/>
      <c r="D2" s="101"/>
      <c r="E2" s="102"/>
      <c r="H2" s="76" t="s">
        <v>2</v>
      </c>
      <c r="I2" s="77"/>
      <c r="J2" s="77"/>
      <c r="K2" s="78"/>
      <c r="L2" s="79" t="s">
        <v>18</v>
      </c>
      <c r="M2" s="80"/>
      <c r="N2" s="80"/>
      <c r="O2" s="81"/>
      <c r="P2" s="82" t="s">
        <v>19</v>
      </c>
      <c r="Q2" s="83"/>
      <c r="R2" s="83"/>
      <c r="S2" s="84"/>
      <c r="T2" s="85" t="s">
        <v>20</v>
      </c>
      <c r="U2" s="86"/>
      <c r="V2" s="86"/>
      <c r="W2" s="87"/>
      <c r="Z2" s="70"/>
      <c r="AA2" s="71" t="s">
        <v>3</v>
      </c>
      <c r="AB2" s="88">
        <v>8</v>
      </c>
      <c r="AC2" s="88">
        <v>9</v>
      </c>
      <c r="AD2" s="88">
        <v>10</v>
      </c>
      <c r="AE2" s="89">
        <v>11</v>
      </c>
    </row>
    <row r="3" spans="1:31" x14ac:dyDescent="0.25">
      <c r="G3" s="30" t="s">
        <v>11</v>
      </c>
      <c r="H3" s="26" t="s">
        <v>7</v>
      </c>
      <c r="I3" s="3" t="s">
        <v>8</v>
      </c>
      <c r="J3" s="3" t="s">
        <v>0</v>
      </c>
      <c r="K3" s="27" t="s">
        <v>1</v>
      </c>
      <c r="L3" s="37" t="s">
        <v>7</v>
      </c>
      <c r="M3" s="4" t="s">
        <v>8</v>
      </c>
      <c r="N3" s="4" t="s">
        <v>0</v>
      </c>
      <c r="O3" s="38" t="s">
        <v>1</v>
      </c>
      <c r="P3" s="42" t="s">
        <v>7</v>
      </c>
      <c r="Q3" s="18" t="s">
        <v>8</v>
      </c>
      <c r="R3" s="18" t="s">
        <v>0</v>
      </c>
      <c r="S3" s="43" t="s">
        <v>1</v>
      </c>
      <c r="T3" s="47" t="s">
        <v>7</v>
      </c>
      <c r="U3" s="21" t="s">
        <v>8</v>
      </c>
      <c r="V3" s="21" t="s">
        <v>0</v>
      </c>
      <c r="W3" s="48" t="s">
        <v>1</v>
      </c>
      <c r="Z3" s="70"/>
      <c r="AA3" s="71"/>
      <c r="AB3" s="88"/>
      <c r="AC3" s="88"/>
      <c r="AD3" s="88"/>
      <c r="AE3" s="89"/>
    </row>
    <row r="4" spans="1:31" x14ac:dyDescent="0.25">
      <c r="G4" s="31">
        <v>0</v>
      </c>
      <c r="H4" s="58">
        <v>3.3210000000000002E-3</v>
      </c>
      <c r="I4" s="59">
        <v>2.4919999999999999E-3</v>
      </c>
      <c r="J4" s="59">
        <v>5.9280000000000001E-3</v>
      </c>
      <c r="K4" s="60">
        <v>9.8799999999999999E-3</v>
      </c>
      <c r="L4" s="39">
        <f>H4+$C$5*($C$9+$C$6*MAX($H$11:$K$11)-H4)</f>
        <v>-1.5811760000000001E-2</v>
      </c>
      <c r="M4" s="1">
        <f>I4+$C$5*($C$9+$C$6*MAX($H$4:$K$4)-I4)</f>
        <v>-1.6227999999999999E-2</v>
      </c>
      <c r="N4" s="1">
        <f>J4+$C$5*($C$9+$C$6*MAX($H$4:$K$4)-J4)</f>
        <v>-1.3479200000000004E-2</v>
      </c>
      <c r="O4" s="40">
        <f>K4+$C$5*($C$9+$C$6*MAX($H$5:$K$5)-K4)</f>
        <v>-1.053954E-2</v>
      </c>
      <c r="P4" s="44" t="s">
        <v>7</v>
      </c>
      <c r="Q4" s="17" t="s">
        <v>8</v>
      </c>
      <c r="R4" s="17" t="s">
        <v>0</v>
      </c>
      <c r="S4" s="45" t="s">
        <v>1</v>
      </c>
      <c r="T4" s="49">
        <v>7</v>
      </c>
      <c r="U4" s="20">
        <v>0</v>
      </c>
      <c r="V4" s="20">
        <v>0</v>
      </c>
      <c r="W4" s="50">
        <v>1</v>
      </c>
      <c r="Z4" s="2"/>
      <c r="AB4" s="90">
        <v>7</v>
      </c>
      <c r="AC4" s="91">
        <v>6</v>
      </c>
      <c r="AD4" s="92">
        <v>5</v>
      </c>
      <c r="AE4" s="93">
        <v>4</v>
      </c>
    </row>
    <row r="5" spans="1:31" x14ac:dyDescent="0.25">
      <c r="B5" s="103" t="s">
        <v>13</v>
      </c>
      <c r="C5" s="106">
        <v>0.2</v>
      </c>
      <c r="G5" s="31">
        <v>1</v>
      </c>
      <c r="H5" s="58">
        <v>8.6470000000000002E-3</v>
      </c>
      <c r="I5" s="59">
        <v>7.4939999999999998E-3</v>
      </c>
      <c r="J5" s="59">
        <v>1.65E-4</v>
      </c>
      <c r="K5" s="60">
        <v>2.1540000000000001E-3</v>
      </c>
      <c r="L5" s="39">
        <f>H5+$C$5*($C$9+$C$6*MAX($H$5:$K$5)-H5)</f>
        <v>-1.152594E-2</v>
      </c>
      <c r="M5" s="1">
        <f>I5+$C$5*($C$9+$C$6*MAX($H$5:$K$5)-I5)</f>
        <v>-1.2448340000000002E-2</v>
      </c>
      <c r="N5" s="1">
        <f>J5+$C$5*($C$9+$C$6*MAX($H$4:$K$4)-J5)</f>
        <v>-1.8089600000000004E-2</v>
      </c>
      <c r="O5" s="40">
        <f>K5+$C$5*($C$9+$C$6*MAX($H$6:$K$6)-K5)</f>
        <v>-1.6572920000000005E-2</v>
      </c>
      <c r="P5" s="44" t="s">
        <v>7</v>
      </c>
      <c r="Q5" s="17" t="s">
        <v>8</v>
      </c>
      <c r="R5" s="17" t="s">
        <v>0</v>
      </c>
      <c r="S5" s="45" t="s">
        <v>1</v>
      </c>
      <c r="T5" s="49">
        <v>1</v>
      </c>
      <c r="U5" s="20">
        <v>1</v>
      </c>
      <c r="V5" s="20">
        <v>0</v>
      </c>
      <c r="W5" s="50">
        <v>2</v>
      </c>
      <c r="Z5" s="72"/>
      <c r="AA5" s="73" t="s">
        <v>10</v>
      </c>
      <c r="AB5" s="90"/>
      <c r="AC5" s="91"/>
      <c r="AD5" s="92"/>
      <c r="AE5" s="93"/>
    </row>
    <row r="6" spans="1:31" x14ac:dyDescent="0.25">
      <c r="B6" s="104" t="s">
        <v>14</v>
      </c>
      <c r="C6" s="107">
        <v>0.9</v>
      </c>
      <c r="G6" s="31">
        <v>2</v>
      </c>
      <c r="H6" s="58">
        <v>9.4660000000000005E-3</v>
      </c>
      <c r="I6" s="59">
        <v>5.0080000000000003E-3</v>
      </c>
      <c r="J6" s="59">
        <v>2.5509999999999999E-3</v>
      </c>
      <c r="K6" s="60">
        <v>3.271E-3</v>
      </c>
      <c r="L6" s="39">
        <f>H6+$C$5*($C$9+$C$6*MAX($H$9:$K$9)-H6)</f>
        <v>-1.0761300000000003E-2</v>
      </c>
      <c r="M6" s="1">
        <f>I6+$C$5*($C$9+$C$6*MAX($H$6:$K$6)-I6)</f>
        <v>-1.4289720000000004E-2</v>
      </c>
      <c r="N6" s="1">
        <f>J6+$C$5*($C$9+$C$6*MAX($H$5:$K$5)-J6)</f>
        <v>-1.6402739999999999E-2</v>
      </c>
      <c r="O6" s="40">
        <f>K6+$C$5*($C$9+$C$6*MAX($H$7:$K$7)-K6)</f>
        <v>-1.5723960000000002E-2</v>
      </c>
      <c r="P6" s="44" t="s">
        <v>7</v>
      </c>
      <c r="Q6" s="17" t="s">
        <v>8</v>
      </c>
      <c r="R6" s="17" t="s">
        <v>0</v>
      </c>
      <c r="S6" s="45" t="s">
        <v>1</v>
      </c>
      <c r="T6" s="49">
        <v>5</v>
      </c>
      <c r="U6" s="20">
        <v>2</v>
      </c>
      <c r="V6" s="20">
        <v>1</v>
      </c>
      <c r="W6" s="50">
        <v>3</v>
      </c>
      <c r="Z6" s="72"/>
      <c r="AA6" s="73"/>
      <c r="AB6" s="92">
        <v>0</v>
      </c>
      <c r="AC6" s="88">
        <v>1</v>
      </c>
      <c r="AD6" s="88">
        <v>2</v>
      </c>
      <c r="AE6" s="92">
        <v>3</v>
      </c>
    </row>
    <row r="7" spans="1:31" x14ac:dyDescent="0.25">
      <c r="A7" s="75"/>
      <c r="B7" s="105" t="s">
        <v>25</v>
      </c>
      <c r="C7" s="108">
        <v>1500</v>
      </c>
      <c r="G7" s="32">
        <v>3</v>
      </c>
      <c r="H7" s="58">
        <v>9.129E-3</v>
      </c>
      <c r="I7" s="59">
        <v>3.4269999999999999E-3</v>
      </c>
      <c r="J7" s="59">
        <v>6.4659999999999995E-3</v>
      </c>
      <c r="K7" s="60">
        <v>9.2179999999999988E-3</v>
      </c>
      <c r="L7" s="39">
        <f>H7+$C$5*($C$11+$C$6*MAX($H$8:$K$8)-H7)</f>
        <v>-0.99186645999999989</v>
      </c>
      <c r="M7" s="1">
        <f>I7+$C$5*($C$11+$C$6*MAX($H$7:$K$7)-I7)</f>
        <v>-0.99559916000000015</v>
      </c>
      <c r="N7" s="1">
        <f>J7+$C$5*($C$9+$C$6*MAX($H$6:$K$6)-J7)</f>
        <v>-1.3123320000000004E-2</v>
      </c>
      <c r="O7" s="40">
        <f>K7+$C$5*($C$9+$C$6*MAX($H$7:$K$7)-K7)</f>
        <v>-1.0966360000000003E-2</v>
      </c>
      <c r="P7" s="44" t="s">
        <v>7</v>
      </c>
      <c r="Q7" s="17" t="s">
        <v>8</v>
      </c>
      <c r="R7" s="17" t="s">
        <v>0</v>
      </c>
      <c r="S7" s="45" t="s">
        <v>1</v>
      </c>
      <c r="T7" s="49">
        <v>4</v>
      </c>
      <c r="U7" s="20">
        <v>3</v>
      </c>
      <c r="V7" s="20">
        <v>2</v>
      </c>
      <c r="W7" s="50">
        <v>3</v>
      </c>
      <c r="Z7" s="2"/>
      <c r="AB7" s="92"/>
      <c r="AC7" s="88"/>
      <c r="AD7" s="88"/>
      <c r="AE7" s="92"/>
    </row>
    <row r="8" spans="1:31" x14ac:dyDescent="0.25">
      <c r="A8" s="75"/>
      <c r="G8" s="33">
        <v>4</v>
      </c>
      <c r="H8" s="58">
        <v>1.261E-3</v>
      </c>
      <c r="I8" s="59">
        <v>4.6129999999999999E-3</v>
      </c>
      <c r="J8" s="59">
        <v>2.5249999999999999E-3</v>
      </c>
      <c r="K8" s="60">
        <v>3.313E-3</v>
      </c>
      <c r="L8" s="39">
        <f>H8+$C$5*($C$10+$C$6*MAX($H$15:$K$15)-H8)</f>
        <v>20.002479040000001</v>
      </c>
      <c r="M8" s="1">
        <f>I8+$C$5*($C$9+$C$6*MAX($H$7:$K$7)-I8)</f>
        <v>-1.4650360000000005E-2</v>
      </c>
      <c r="N8" s="1">
        <f>J8+$C$5*($C$9+$C$6*MAX($H$9:$K$9)-J8)</f>
        <v>-1.6314100000000002E-2</v>
      </c>
      <c r="O8" s="40">
        <f>K8+$C$5*($C$9+$C$6*MAX($H$8:$K$8)-K8)</f>
        <v>-1.6519260000000004E-2</v>
      </c>
      <c r="P8" s="44" t="s">
        <v>7</v>
      </c>
      <c r="Q8" s="17" t="s">
        <v>8</v>
      </c>
      <c r="R8" s="17" t="s">
        <v>0</v>
      </c>
      <c r="S8" s="45" t="s">
        <v>1</v>
      </c>
      <c r="T8" s="49">
        <v>11</v>
      </c>
      <c r="U8" s="20">
        <v>3</v>
      </c>
      <c r="V8" s="20">
        <v>5</v>
      </c>
      <c r="W8" s="50">
        <v>4</v>
      </c>
      <c r="Z8" s="15"/>
      <c r="AA8" s="73" t="s">
        <v>9</v>
      </c>
      <c r="AB8" s="68"/>
      <c r="AC8" s="68"/>
      <c r="AD8" s="68"/>
      <c r="AE8" s="69"/>
    </row>
    <row r="9" spans="1:31" x14ac:dyDescent="0.25">
      <c r="B9" s="112" t="s">
        <v>15</v>
      </c>
      <c r="C9" s="109">
        <v>-0.1</v>
      </c>
      <c r="G9" s="31">
        <v>5</v>
      </c>
      <c r="H9" s="58">
        <v>8.293E-3</v>
      </c>
      <c r="I9" s="59">
        <v>6.6319999999999999E-3</v>
      </c>
      <c r="J9" s="59">
        <v>9.2549999999999993E-3</v>
      </c>
      <c r="K9" s="60">
        <v>3.6880000000000003E-3</v>
      </c>
      <c r="L9" s="39">
        <f>H9+$C$5*($C$9+$C$6*MAX($H$14:$K$14)-H9)</f>
        <v>-1.1613300000000002E-2</v>
      </c>
      <c r="M9" s="1">
        <f>I9+$C$5*($C$9+$C$6*MAX($H$6:$K$6)-I9)</f>
        <v>-1.2990520000000005E-2</v>
      </c>
      <c r="N9" s="1">
        <f>J9+$C$5*($C$9+$C$6*MAX($H$9:$K$9)-J9)</f>
        <v>-1.0930100000000002E-2</v>
      </c>
      <c r="O9" s="40">
        <f>K9+$C$5*($C$11+$C$6*MAX($H$8:$K$8)-K9)</f>
        <v>-0.99621926000000005</v>
      </c>
      <c r="P9" s="44" t="s">
        <v>7</v>
      </c>
      <c r="Q9" s="17" t="s">
        <v>8</v>
      </c>
      <c r="R9" s="17" t="s">
        <v>0</v>
      </c>
      <c r="S9" s="45" t="s">
        <v>1</v>
      </c>
      <c r="T9" s="49">
        <v>10</v>
      </c>
      <c r="U9" s="20">
        <v>2</v>
      </c>
      <c r="V9" s="20">
        <v>5</v>
      </c>
      <c r="W9" s="50">
        <v>4</v>
      </c>
      <c r="Z9" s="15"/>
      <c r="AA9" s="73"/>
      <c r="AB9" s="69"/>
      <c r="AC9" s="69"/>
      <c r="AD9" s="68"/>
      <c r="AE9" s="69"/>
    </row>
    <row r="10" spans="1:31" x14ac:dyDescent="0.25">
      <c r="B10" s="113" t="s">
        <v>16</v>
      </c>
      <c r="C10" s="110">
        <v>100</v>
      </c>
      <c r="G10" s="34">
        <v>6</v>
      </c>
      <c r="H10" s="61"/>
      <c r="I10" s="62"/>
      <c r="J10" s="62"/>
      <c r="K10" s="63"/>
      <c r="L10" s="28"/>
      <c r="M10" s="19"/>
      <c r="N10" s="19"/>
      <c r="O10" s="29"/>
      <c r="P10" s="28"/>
      <c r="Q10" s="19"/>
      <c r="R10" s="19"/>
      <c r="S10" s="29"/>
      <c r="T10" s="28"/>
      <c r="U10" s="19"/>
      <c r="V10" s="19"/>
      <c r="W10" s="29"/>
      <c r="Z10" s="2"/>
      <c r="AB10" s="94" t="str">
        <f>IF(H12=MAX($H$12:$K$12),"é",IF(I12=MAX($H$12:$K$12),"ê",IF(J12=MAX($H$12:$K$12),"ç",IF(K12=MAX($H$12:$K$12),"è"))))</f>
        <v>ê</v>
      </c>
      <c r="AC10" s="94" t="str">
        <f>IF(H13=MAX($H$13:$K$13),"é",IF(I13=MAX($H$13:$K$13),"ê",IF(J13=MAX($H$13:$K$13),"ç",IF(K13=MAX($H$13:$K$13),"è"))))</f>
        <v>è</v>
      </c>
      <c r="AD10" s="94" t="str">
        <f>IF(H14=MAX($H$14:$K$14),"é",IF(I14=MAX($H$14:$K$14),"ê",IF(J14=MAX($H$14:$K$14),"ç",IF(K14=MAX($H$14:$K$14),"è"))))</f>
        <v>ê</v>
      </c>
      <c r="AE10" s="95"/>
    </row>
    <row r="11" spans="1:31" x14ac:dyDescent="0.25">
      <c r="B11" s="114" t="s">
        <v>17</v>
      </c>
      <c r="C11" s="111">
        <v>-5</v>
      </c>
      <c r="G11" s="35">
        <v>7</v>
      </c>
      <c r="H11" s="58">
        <v>8.4589999999999995E-3</v>
      </c>
      <c r="I11" s="59">
        <v>8.5079999999999999E-3</v>
      </c>
      <c r="J11" s="59">
        <v>-1.615896E-2</v>
      </c>
      <c r="K11" s="60">
        <v>-1.6283760000000001E-2</v>
      </c>
      <c r="L11" s="39">
        <f>H11+$C$5*($C$9+$C$6*MAX($H$12:$K$12)-H11)</f>
        <v>-1.1574100000000002E-2</v>
      </c>
      <c r="M11" s="1">
        <f>I11+$C$5*($C$9+$C$6*MAX($H$4:$K$4)-I11)</f>
        <v>-1.1415200000000002E-2</v>
      </c>
      <c r="N11" s="1">
        <f>J11+$C$5*($C$9+$C$6*MAX($H$11:$K$11)-J11)</f>
        <v>-3.1395727999999998E-2</v>
      </c>
      <c r="O11" s="40">
        <f>K11+$C$5*($C$9+$C$6*MAX($H$11:$K$11)-K11)</f>
        <v>-3.1495568000000002E-2</v>
      </c>
      <c r="P11" s="44" t="s">
        <v>7</v>
      </c>
      <c r="Q11" s="17" t="s">
        <v>8</v>
      </c>
      <c r="R11" s="17" t="s">
        <v>0</v>
      </c>
      <c r="S11" s="45" t="s">
        <v>1</v>
      </c>
      <c r="T11" s="49">
        <v>8</v>
      </c>
      <c r="U11" s="20">
        <v>0</v>
      </c>
      <c r="V11" s="20">
        <v>7</v>
      </c>
      <c r="W11" s="50">
        <v>7</v>
      </c>
      <c r="Z11" s="74"/>
      <c r="AA11" s="73" t="s">
        <v>4</v>
      </c>
      <c r="AB11" s="94"/>
      <c r="AC11" s="94"/>
      <c r="AD11" s="94"/>
      <c r="AE11" s="95"/>
    </row>
    <row r="12" spans="1:31" x14ac:dyDescent="0.25">
      <c r="G12" s="31">
        <v>8</v>
      </c>
      <c r="H12" s="58">
        <v>7.4570000000000001E-3</v>
      </c>
      <c r="I12" s="59">
        <v>9.2149999999999992E-3</v>
      </c>
      <c r="J12" s="59">
        <v>8.4670000000000006E-3</v>
      </c>
      <c r="K12" s="60">
        <v>7.0999999999999991E-4</v>
      </c>
      <c r="L12" s="39">
        <f>H12+$C$5*($C$9+$C$6*MAX($H$12:$K$12)-H12)</f>
        <v>-1.2375700000000005E-2</v>
      </c>
      <c r="M12" s="1">
        <f>I12+$C$5*($C$9+$C$6*MAX($H$11:$K$11)-I12)</f>
        <v>-1.1096560000000004E-2</v>
      </c>
      <c r="N12" s="1">
        <f>J12+$C$5*($C$9+$C$6*MAX($H$12:$K$12)-J12)</f>
        <v>-1.1567700000000002E-2</v>
      </c>
      <c r="O12" s="40">
        <f>K12+$C$5*($C$9+$C$6*MAX($H$13:$K$13)-K12)</f>
        <v>-1.7669620000000004E-2</v>
      </c>
      <c r="P12" s="44" t="s">
        <v>7</v>
      </c>
      <c r="Q12" s="17" t="s">
        <v>8</v>
      </c>
      <c r="R12" s="17" t="s">
        <v>0</v>
      </c>
      <c r="S12" s="45" t="s">
        <v>1</v>
      </c>
      <c r="T12" s="49">
        <v>8</v>
      </c>
      <c r="U12" s="20">
        <v>7</v>
      </c>
      <c r="V12" s="20">
        <v>8</v>
      </c>
      <c r="W12" s="50">
        <v>9</v>
      </c>
      <c r="Z12" s="74"/>
      <c r="AA12" s="73"/>
      <c r="AB12" s="96" t="str">
        <f>IF(H11=MAX($H$11:$K$11),"é",IF(I11=MAX($H$11:$K$11),"ê",IF(J11=MAX($H$11:$K$11),"ç",IF(K11=MAX($H$11:$K$11),"è"))))</f>
        <v>ê</v>
      </c>
      <c r="AC12" s="97"/>
      <c r="AD12" s="98" t="str">
        <f>IF(H9=MAX($H$9:$K$9),"é",IF(I9=MAX($H$9:$K$9),"ê",IF(J9=MAX($H$9:$K$9),"ç",IF(K9=MAX($H$9:$K$9),"è"))))</f>
        <v>ç</v>
      </c>
      <c r="AE12" s="99"/>
    </row>
    <row r="13" spans="1:31" x14ac:dyDescent="0.25">
      <c r="G13" s="31">
        <v>9</v>
      </c>
      <c r="H13" s="58">
        <v>1.9189999999999999E-3</v>
      </c>
      <c r="I13" s="59">
        <v>4.7629999999999999E-3</v>
      </c>
      <c r="J13" s="59">
        <v>9.5109999999999986E-3</v>
      </c>
      <c r="K13" s="60">
        <v>9.7909999999999994E-3</v>
      </c>
      <c r="L13" s="39">
        <f>H13+$C$5*($C$9+$C$6*MAX($H$13:$K$13)-H13)</f>
        <v>-1.6702420000000003E-2</v>
      </c>
      <c r="M13" s="1">
        <f>I13+$C$5*($C$9+$C$6*MAX($H$13:$K$13)-I13)</f>
        <v>-1.4427220000000004E-2</v>
      </c>
      <c r="N13" s="1">
        <f>J13+$C$5*($C$9+$C$6*MAX($H$12:$K$12)-J13)</f>
        <v>-1.0732500000000006E-2</v>
      </c>
      <c r="O13" s="40">
        <f>K13+$C$5*($C$9+$C$6*MAX($H$14:$K$14)-K13)</f>
        <v>-1.04149E-2</v>
      </c>
      <c r="P13" s="44" t="s">
        <v>7</v>
      </c>
      <c r="Q13" s="17" t="s">
        <v>8</v>
      </c>
      <c r="R13" s="17" t="s">
        <v>0</v>
      </c>
      <c r="S13" s="45" t="s">
        <v>1</v>
      </c>
      <c r="T13" s="49">
        <v>9</v>
      </c>
      <c r="U13" s="20">
        <v>9</v>
      </c>
      <c r="V13" s="20">
        <v>8</v>
      </c>
      <c r="W13" s="50">
        <v>10</v>
      </c>
      <c r="AB13" s="96"/>
      <c r="AC13" s="97"/>
      <c r="AD13" s="98"/>
      <c r="AE13" s="99"/>
    </row>
    <row r="14" spans="1:31" x14ac:dyDescent="0.25">
      <c r="G14" s="31">
        <v>10</v>
      </c>
      <c r="H14" s="58">
        <v>7.2150000000000001E-3</v>
      </c>
      <c r="I14" s="59">
        <v>9.7350000000000006E-3</v>
      </c>
      <c r="J14" s="59">
        <v>8.7329999999999994E-3</v>
      </c>
      <c r="K14" s="60">
        <v>5.0179999999999999E-3</v>
      </c>
      <c r="L14" s="39">
        <f>H14+$C$5*($C$9+$C$6*MAX($H$14:$K$14)-H14)</f>
        <v>-1.2475700000000003E-2</v>
      </c>
      <c r="M14" s="1">
        <f>I14+$C$5*($C$9+$C$6*MAX($H$9:$K$9)-I14)</f>
        <v>-1.0546100000000003E-2</v>
      </c>
      <c r="N14" s="1">
        <f>J14+$C$5*($C$9+$C$6*MAX($H$13:$K$13)-J14)</f>
        <v>-1.1251220000000004E-2</v>
      </c>
      <c r="O14" s="40">
        <f>K14+$C$5*($C$10+$C$6*MAX($H$15:$K$15)-K14)</f>
        <v>20.005484639999999</v>
      </c>
      <c r="P14" s="44" t="s">
        <v>7</v>
      </c>
      <c r="Q14" s="17" t="s">
        <v>8</v>
      </c>
      <c r="R14" s="17" t="s">
        <v>0</v>
      </c>
      <c r="S14" s="45" t="s">
        <v>1</v>
      </c>
      <c r="T14" s="49">
        <v>10</v>
      </c>
      <c r="U14" s="20">
        <v>5</v>
      </c>
      <c r="V14" s="20">
        <v>9</v>
      </c>
      <c r="W14" s="50">
        <v>11</v>
      </c>
      <c r="AB14" s="98" t="str">
        <f>IF(H4=MAX($H$4:$K$4),"é",IF(I4=MAX($H$4:$K$4),"ê",IF(J4=MAX($H$4:$K$4),"ç",IF(K4=MAX($H$4:$K$4),"è"))))</f>
        <v>è</v>
      </c>
      <c r="AC14" s="94" t="str">
        <f>IF(H5=MAX($H$5:$K$5),"é",IF(I5=MAX($H$5:$K$5),"ê",IF(J5=MAX($H$5:$K$5),"ç",IF(K5=MAX($H$5:$K$5),"è"))))</f>
        <v>é</v>
      </c>
      <c r="AD14" s="94" t="str">
        <f>IF(H6=MAX($H$6:$K$6),"é",IF(I6=MAX($H$6:$K$6),"ê",IF(J6=MAX($H$6:$K$6),"ç",IF(K6=MAX($H$6:$K$6),"è"))))</f>
        <v>é</v>
      </c>
      <c r="AE14" s="98" t="str">
        <f>IF(H7=MAX($H$7:$K$7),"é",IF(I7=MAX($H$7:$K$7),"ê",IF(J7=MAX($H$7:$K$7),"ç",IF(K7=MAX($H$7:$K$7),"è"))))</f>
        <v>è</v>
      </c>
    </row>
    <row r="15" spans="1:31" ht="15.75" thickBot="1" x14ac:dyDescent="0.3">
      <c r="G15" s="36">
        <v>11</v>
      </c>
      <c r="H15" s="64">
        <v>8.0339999999999995E-3</v>
      </c>
      <c r="I15" s="65">
        <v>4.7559999999999998E-3</v>
      </c>
      <c r="J15" s="65">
        <v>4.47E-3</v>
      </c>
      <c r="K15" s="66">
        <v>8.1679999999999999E-3</v>
      </c>
      <c r="L15" s="56">
        <f>H15+$C$5*($C$11+$C$6*MAX($H$15:$K$15)-H15)</f>
        <v>-0.9921025600000003</v>
      </c>
      <c r="M15" s="41">
        <f>I15+$C$5*($C$11+$C$6*MAX($H$8:$K$8)-I15)</f>
        <v>-0.99536486000000002</v>
      </c>
      <c r="N15" s="41">
        <f>J15+$C$5*($C$9+$C$6*MAX($H$14:$K$14)-J15)</f>
        <v>-1.4671700000000001E-2</v>
      </c>
      <c r="O15" s="57">
        <f>K15+$C$5*($C$9+$C$6*MAX($H$15:$K$15)-K15)</f>
        <v>-1.1995360000000002E-2</v>
      </c>
      <c r="P15" s="52" t="s">
        <v>7</v>
      </c>
      <c r="Q15" s="46" t="s">
        <v>8</v>
      </c>
      <c r="R15" s="46" t="s">
        <v>0</v>
      </c>
      <c r="S15" s="53" t="s">
        <v>1</v>
      </c>
      <c r="T15" s="54">
        <v>11</v>
      </c>
      <c r="U15" s="51">
        <v>4</v>
      </c>
      <c r="V15" s="51">
        <v>10</v>
      </c>
      <c r="W15" s="55">
        <v>11</v>
      </c>
      <c r="AB15" s="98"/>
      <c r="AC15" s="94"/>
      <c r="AD15" s="94"/>
      <c r="AE15" s="98"/>
    </row>
    <row r="17" spans="2:17" x14ac:dyDescent="0.25">
      <c r="P17" s="5" t="s">
        <v>21</v>
      </c>
      <c r="Q17" s="22">
        <v>0</v>
      </c>
    </row>
    <row r="18" spans="2:17" x14ac:dyDescent="0.25">
      <c r="J18" s="25" t="s">
        <v>12</v>
      </c>
      <c r="K18" s="24">
        <v>0</v>
      </c>
      <c r="P18" s="10" t="s">
        <v>23</v>
      </c>
      <c r="Q18" s="23">
        <f ca="1">RANDBETWEEN(1,4)</f>
        <v>2</v>
      </c>
    </row>
    <row r="19" spans="2:17" x14ac:dyDescent="0.25">
      <c r="P19" s="10" t="s">
        <v>22</v>
      </c>
      <c r="Q19" s="8" t="str">
        <f ca="1">HLOOKUP(Q18,$P$1:$S$15,4+Q17,FALSE)</f>
        <v>D</v>
      </c>
    </row>
    <row r="20" spans="2:17" x14ac:dyDescent="0.25">
      <c r="P20" s="6" t="s">
        <v>24</v>
      </c>
      <c r="Q20" s="9">
        <f ca="1">HLOOKUP(Q18,$T$1:$W$15,4+Q17,FALSE)</f>
        <v>0</v>
      </c>
    </row>
    <row r="22" spans="2:17" x14ac:dyDescent="0.25">
      <c r="G22" s="13"/>
      <c r="H22" s="13"/>
      <c r="I22" s="13"/>
      <c r="P22" s="5" t="s">
        <v>5</v>
      </c>
      <c r="Q22" s="11">
        <f>K18*(1/Q24)</f>
        <v>0</v>
      </c>
    </row>
    <row r="23" spans="2:17" x14ac:dyDescent="0.25">
      <c r="G23" s="13"/>
      <c r="H23" s="13"/>
      <c r="I23" s="13"/>
      <c r="P23" s="10" t="s">
        <v>6</v>
      </c>
      <c r="Q23" s="16">
        <f ca="1">RAND()</f>
        <v>0.23221278375153465</v>
      </c>
    </row>
    <row r="24" spans="2:17" x14ac:dyDescent="0.25">
      <c r="G24" s="13"/>
      <c r="H24" s="13"/>
      <c r="I24" s="13"/>
      <c r="P24" s="6" t="s">
        <v>25</v>
      </c>
      <c r="Q24" s="12">
        <v>15000</v>
      </c>
    </row>
    <row r="25" spans="2:17" x14ac:dyDescent="0.25">
      <c r="G25" s="13"/>
      <c r="H25" s="13"/>
      <c r="I25" s="13"/>
    </row>
    <row r="26" spans="2:17" x14ac:dyDescent="0.25">
      <c r="G26" s="13"/>
      <c r="H26" s="13"/>
      <c r="I26" s="13"/>
    </row>
    <row r="27" spans="2:17" x14ac:dyDescent="0.25">
      <c r="G27" s="13"/>
      <c r="H27" s="13"/>
      <c r="I27" s="13"/>
    </row>
    <row r="28" spans="2:17" x14ac:dyDescent="0.25">
      <c r="G28" s="13"/>
      <c r="H28" s="13"/>
      <c r="I28" s="13"/>
    </row>
    <row r="29" spans="2:17" x14ac:dyDescent="0.25">
      <c r="G29" s="13"/>
      <c r="H29" s="13"/>
      <c r="I29" s="13"/>
    </row>
    <row r="30" spans="2:17" x14ac:dyDescent="0.25">
      <c r="B30" s="69"/>
      <c r="C30" s="69"/>
      <c r="D30" s="69"/>
      <c r="E30" s="69"/>
      <c r="F30" s="69"/>
      <c r="G30" s="68"/>
      <c r="H30" s="68"/>
      <c r="I30" s="68"/>
    </row>
    <row r="31" spans="2:17" x14ac:dyDescent="0.25">
      <c r="B31" s="69"/>
      <c r="C31" s="69"/>
      <c r="D31" s="69"/>
      <c r="E31" s="69"/>
      <c r="F31" s="69"/>
      <c r="G31" s="68"/>
      <c r="H31" s="68"/>
      <c r="I31" s="68"/>
    </row>
    <row r="32" spans="2:17" x14ac:dyDescent="0.25">
      <c r="B32" s="69"/>
      <c r="C32" s="69"/>
      <c r="D32" s="69"/>
      <c r="E32" s="69"/>
      <c r="F32" s="69"/>
      <c r="G32" s="68"/>
      <c r="H32" s="68"/>
      <c r="I32" s="68"/>
    </row>
    <row r="33" spans="3:9" x14ac:dyDescent="0.25">
      <c r="G33" s="13"/>
      <c r="H33" s="13"/>
      <c r="I33" s="13"/>
    </row>
    <row r="34" spans="3:9" x14ac:dyDescent="0.25">
      <c r="G34" s="13"/>
      <c r="H34" s="13"/>
      <c r="I34" s="13"/>
    </row>
    <row r="35" spans="3:9" x14ac:dyDescent="0.25">
      <c r="G35" s="13"/>
      <c r="H35" s="13"/>
      <c r="I35" s="13"/>
    </row>
    <row r="36" spans="3:9" x14ac:dyDescent="0.25">
      <c r="G36" s="13"/>
      <c r="H36" s="13"/>
      <c r="I36" s="13"/>
    </row>
    <row r="38" spans="3:9" x14ac:dyDescent="0.25">
      <c r="C38" s="7"/>
    </row>
  </sheetData>
  <mergeCells count="37">
    <mergeCell ref="B2:E2"/>
    <mergeCell ref="H2:K2"/>
    <mergeCell ref="L2:O2"/>
    <mergeCell ref="P2:S2"/>
    <mergeCell ref="T2:W2"/>
    <mergeCell ref="AB2:AB3"/>
    <mergeCell ref="AC2:AC3"/>
    <mergeCell ref="AD2:AD3"/>
    <mergeCell ref="AE2:AE3"/>
    <mergeCell ref="AB10:AB11"/>
    <mergeCell ref="AC10:AC11"/>
    <mergeCell ref="AD10:AD11"/>
    <mergeCell ref="AE10:AE11"/>
    <mergeCell ref="AB4:AB5"/>
    <mergeCell ref="AC4:AC5"/>
    <mergeCell ref="AD4:AD5"/>
    <mergeCell ref="AE4:AE5"/>
    <mergeCell ref="AB12:AB13"/>
    <mergeCell ref="AC12:AC13"/>
    <mergeCell ref="AD12:AD13"/>
    <mergeCell ref="AE12:AE13"/>
    <mergeCell ref="Z11:Z12"/>
    <mergeCell ref="AA11:AA12"/>
    <mergeCell ref="AA8:AA9"/>
    <mergeCell ref="A7:A8"/>
    <mergeCell ref="AB6:AB7"/>
    <mergeCell ref="AC6:AC7"/>
    <mergeCell ref="AE14:AE15"/>
    <mergeCell ref="Z2:Z3"/>
    <mergeCell ref="AA2:AA3"/>
    <mergeCell ref="Z5:Z6"/>
    <mergeCell ref="AA5:AA6"/>
    <mergeCell ref="AB14:AB15"/>
    <mergeCell ref="AC14:AC15"/>
    <mergeCell ref="AD14:AD15"/>
    <mergeCell ref="AD6:AD7"/>
    <mergeCell ref="AE6:AE7"/>
  </mergeCells>
  <hyperlinks>
    <hyperlink ref="B2" r:id="rId1" xr:uid="{91874D09-D81B-4AAF-A5BA-A1C65D8E2D4C}"/>
  </hyperlinks>
  <pageMargins left="0.511811024" right="0.511811024" top="0.78740157499999996" bottom="0.78740157499999996" header="0.31496062000000002" footer="0.31496062000000002"/>
  <ignoredErrors>
    <ignoredError sqref="M12" 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5</xdr:col>
                <xdr:colOff>276225</xdr:colOff>
                <xdr:row>16</xdr:row>
                <xdr:rowOff>85725</xdr:rowOff>
              </from>
              <to>
                <xdr:col>8</xdr:col>
                <xdr:colOff>47625</xdr:colOff>
                <xdr:row>18</xdr:row>
                <xdr:rowOff>85725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2021-12-01T13:18:27Z</dcterms:modified>
</cp:coreProperties>
</file>