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6F8994D-3B66-4D09-BA76-6233C5742F6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NN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4" i="2" l="1"/>
  <c r="M25" i="2"/>
  <c r="N25" i="2"/>
  <c r="M24" i="2"/>
  <c r="D25" i="2"/>
  <c r="E25" i="2"/>
  <c r="F25" i="2"/>
  <c r="G25" i="2"/>
  <c r="H25" i="2"/>
  <c r="D26" i="2"/>
  <c r="E26" i="2"/>
  <c r="F26" i="2"/>
  <c r="G26" i="2"/>
  <c r="H26" i="2"/>
  <c r="D27" i="2"/>
  <c r="E27" i="2"/>
  <c r="F27" i="2"/>
  <c r="G27" i="2"/>
  <c r="H27" i="2"/>
  <c r="D28" i="2"/>
  <c r="E28" i="2"/>
  <c r="F28" i="2"/>
  <c r="G28" i="2"/>
  <c r="H28" i="2"/>
  <c r="E24" i="2"/>
  <c r="F24" i="2"/>
  <c r="G24" i="2"/>
  <c r="H24" i="2"/>
  <c r="D24" i="2"/>
  <c r="J10" i="2" l="1"/>
  <c r="K10" i="2"/>
  <c r="L10" i="2"/>
  <c r="M10" i="2"/>
  <c r="N10" i="2"/>
  <c r="J11" i="2"/>
  <c r="K11" i="2"/>
  <c r="L11" i="2"/>
  <c r="M11" i="2"/>
  <c r="N11" i="2"/>
  <c r="J12" i="2"/>
  <c r="K12" i="2"/>
  <c r="L12" i="2"/>
  <c r="M12" i="2"/>
  <c r="N12" i="2"/>
  <c r="J13" i="2"/>
  <c r="K13" i="2"/>
  <c r="L13" i="2"/>
  <c r="M13" i="2"/>
  <c r="N13" i="2"/>
  <c r="K9" i="2"/>
  <c r="L9" i="2"/>
  <c r="M9" i="2"/>
  <c r="N9" i="2"/>
  <c r="J9" i="2"/>
  <c r="AF30" i="2"/>
  <c r="AF27" i="2"/>
  <c r="AF24" i="2"/>
  <c r="AF21" i="2"/>
  <c r="S9" i="2" l="1"/>
  <c r="T11" i="2"/>
  <c r="U9" i="2"/>
  <c r="V10" i="2"/>
  <c r="T12" i="2"/>
  <c r="V12" i="2"/>
  <c r="U12" i="2"/>
  <c r="S12" i="2"/>
  <c r="T10" i="2"/>
  <c r="S10" i="2"/>
  <c r="U10" i="2"/>
  <c r="V11" i="2"/>
  <c r="U11" i="2"/>
  <c r="V9" i="2"/>
  <c r="S11" i="2"/>
  <c r="T9" i="2"/>
  <c r="Y9" i="2" l="1"/>
  <c r="X9" i="2"/>
  <c r="X10" i="2"/>
  <c r="AA11" i="2" s="1"/>
  <c r="Y10" i="2"/>
  <c r="AG27" i="2" l="1"/>
  <c r="AA5" i="2"/>
  <c r="AA14" i="2"/>
  <c r="AA8" i="2"/>
  <c r="AG30" i="2" l="1"/>
  <c r="AG24" i="2"/>
  <c r="AG21" i="2"/>
  <c r="AF9" i="2"/>
  <c r="AI8" i="2" s="1"/>
  <c r="AI21" i="2" l="1"/>
  <c r="AD30" i="2" s="1"/>
  <c r="AI10" i="2"/>
  <c r="AD24" i="2" l="1"/>
  <c r="AC24" i="2" s="1"/>
  <c r="AD27" i="2"/>
  <c r="AC27" i="2" s="1"/>
  <c r="AD22" i="2"/>
  <c r="X24" i="2" s="1"/>
  <c r="AD21" i="2"/>
  <c r="AC21" i="2" s="1"/>
  <c r="AD28" i="2"/>
  <c r="W26" i="2" s="1"/>
  <c r="AD25" i="2"/>
  <c r="Y24" i="2" s="1"/>
  <c r="AD31" i="2"/>
  <c r="Z26" i="2" s="1"/>
  <c r="AC30" i="2"/>
  <c r="X26" i="2" l="1"/>
  <c r="Y26" i="2"/>
  <c r="W24" i="2"/>
  <c r="Y23" i="2"/>
  <c r="W23" i="2"/>
  <c r="Y25" i="2"/>
  <c r="Z24" i="2"/>
  <c r="Z23" i="2"/>
  <c r="X23" i="2"/>
  <c r="Z25" i="2"/>
  <c r="W25" i="2"/>
  <c r="X25" i="2"/>
  <c r="W28" i="2" l="1"/>
  <c r="X29" i="2"/>
  <c r="X28" i="2"/>
  <c r="W29" i="2"/>
  <c r="W31" i="2" l="1"/>
  <c r="Q25" i="2"/>
  <c r="X31" i="2"/>
  <c r="P25" i="2"/>
  <c r="W32" i="2"/>
  <c r="Q24" i="2"/>
  <c r="X32" i="2"/>
  <c r="P24" i="2"/>
  <c r="W37" i="2" l="1"/>
  <c r="Z35" i="2"/>
  <c r="Y37" i="2"/>
  <c r="X35" i="2"/>
  <c r="Z37" i="2"/>
  <c r="V39" i="2"/>
  <c r="Y35" i="2"/>
  <c r="Z39" i="2"/>
  <c r="V35" i="2"/>
  <c r="W38" i="2"/>
  <c r="X37" i="2"/>
  <c r="X39" i="2"/>
  <c r="X38" i="2"/>
  <c r="V38" i="2"/>
  <c r="X36" i="2"/>
  <c r="V36" i="2"/>
  <c r="W36" i="2"/>
  <c r="W39" i="2"/>
  <c r="Z38" i="2"/>
  <c r="Y38" i="2"/>
  <c r="V37" i="2"/>
  <c r="Y39" i="2"/>
  <c r="Y36" i="2"/>
  <c r="W35" i="2"/>
  <c r="Z36" i="2"/>
</calcChain>
</file>

<file path=xl/sharedStrings.xml><?xml version="1.0" encoding="utf-8"?>
<sst xmlns="http://schemas.openxmlformats.org/spreadsheetml/2006/main" count="20" uniqueCount="20">
  <si>
    <t>Z</t>
  </si>
  <si>
    <t>Template 1</t>
  </si>
  <si>
    <t>Template 2</t>
  </si>
  <si>
    <t>Convolution</t>
  </si>
  <si>
    <t>Max Pooling</t>
  </si>
  <si>
    <t>Sample</t>
  </si>
  <si>
    <t>dL/F</t>
  </si>
  <si>
    <t>dL/O</t>
  </si>
  <si>
    <t>rot F 180</t>
  </si>
  <si>
    <t>Full Conv dL/F, dL/O</t>
  </si>
  <si>
    <t>dL/X</t>
  </si>
  <si>
    <t>dL/W</t>
  </si>
  <si>
    <t>Y</t>
  </si>
  <si>
    <t>upW</t>
  </si>
  <si>
    <t>https://github.com/Valdecy</t>
  </si>
  <si>
    <t>Y_hat</t>
  </si>
  <si>
    <t>Loss</t>
  </si>
  <si>
    <t>dL</t>
  </si>
  <si>
    <t>n</t>
  </si>
  <si>
    <t>epochs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</si>
</sst>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u/>
      <sz val="12"/>
      <color theme="10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4D2F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 style="dashDot">
        <color indexed="64"/>
      </right>
      <top/>
      <bottom style="dashDot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164" fontId="2" fillId="8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4" borderId="4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6" fillId="5" borderId="7" xfId="0" applyNumberFormat="1" applyFont="1" applyFill="1" applyBorder="1" applyAlignment="1">
      <alignment horizontal="center" vertical="center"/>
    </xf>
    <xf numFmtId="2" fontId="6" fillId="6" borderId="9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64" fontId="2" fillId="11" borderId="1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9" fillId="15" borderId="15" xfId="0" applyNumberFormat="1" applyFont="1" applyFill="1" applyBorder="1" applyAlignment="1">
      <alignment horizontal="center" vertical="center"/>
    </xf>
    <xf numFmtId="2" fontId="9" fillId="15" borderId="16" xfId="0" applyNumberFormat="1" applyFont="1" applyFill="1" applyBorder="1" applyAlignment="1">
      <alignment horizontal="center" vertical="center"/>
    </xf>
    <xf numFmtId="2" fontId="9" fillId="15" borderId="17" xfId="0" applyNumberFormat="1" applyFont="1" applyFill="1" applyBorder="1" applyAlignment="1">
      <alignment horizontal="center" vertical="center"/>
    </xf>
    <xf numFmtId="2" fontId="9" fillId="15" borderId="18" xfId="0" applyNumberFormat="1" applyFont="1" applyFill="1" applyBorder="1" applyAlignment="1">
      <alignment horizontal="center" vertical="center"/>
    </xf>
    <xf numFmtId="2" fontId="8" fillId="15" borderId="14" xfId="0" applyNumberFormat="1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E4D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4</xdr:row>
          <xdr:rowOff>85725</xdr:rowOff>
        </xdr:from>
        <xdr:to>
          <xdr:col>38</xdr:col>
          <xdr:colOff>38100</xdr:colOff>
          <xdr:row>5</xdr:row>
          <xdr:rowOff>180975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aldecy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08891-1D6A-4AC5-96BF-F94091F07FFE}">
  <sheetPr codeName="Planilha1"/>
  <dimension ref="A2:AL436"/>
  <sheetViews>
    <sheetView showGridLines="0" tabSelected="1" zoomScale="110" zoomScaleNormal="110" workbookViewId="0">
      <selection activeCell="N4" sqref="N4"/>
    </sheetView>
  </sheetViews>
  <sheetFormatPr defaultRowHeight="15.75" x14ac:dyDescent="0.25"/>
  <cols>
    <col min="1" max="1" width="1" style="1" customWidth="1"/>
    <col min="2" max="2" width="5.28515625" style="1" customWidth="1"/>
    <col min="3" max="3" width="1" style="1" customWidth="1"/>
    <col min="4" max="14" width="5.28515625" style="1" customWidth="1"/>
    <col min="15" max="15" width="3.5703125" style="1" customWidth="1"/>
    <col min="16" max="17" width="5.28515625" style="1" customWidth="1"/>
    <col min="18" max="18" width="3.5703125" style="1" customWidth="1"/>
    <col min="19" max="22" width="7.42578125" style="1" customWidth="1"/>
    <col min="23" max="23" width="3.5703125" style="1" customWidth="1"/>
    <col min="24" max="25" width="7.42578125" style="1" customWidth="1"/>
    <col min="26" max="26" width="3.5703125" style="1" customWidth="1"/>
    <col min="27" max="27" width="7.42578125" style="1" customWidth="1"/>
    <col min="28" max="28" width="3.5703125" style="1" customWidth="1"/>
    <col min="29" max="29" width="7.42578125" style="2" customWidth="1"/>
    <col min="30" max="30" width="3.42578125" style="1" customWidth="1"/>
    <col min="31" max="32" width="5.28515625" style="1" customWidth="1"/>
    <col min="33" max="33" width="3.5703125" style="1" customWidth="1"/>
    <col min="34" max="34" width="7.42578125" style="1" bestFit="1" customWidth="1"/>
    <col min="35" max="35" width="7.7109375" style="1" bestFit="1" customWidth="1"/>
    <col min="36" max="36" width="3.5703125" style="1" customWidth="1"/>
    <col min="37" max="37" width="9" style="1" customWidth="1"/>
    <col min="38" max="38" width="8.85546875" style="1" customWidth="1"/>
    <col min="39" max="40" width="5.28515625" style="1" customWidth="1"/>
    <col min="41" max="41" width="5.7109375" style="1" bestFit="1" customWidth="1"/>
    <col min="42" max="382" width="5.28515625" style="1" customWidth="1"/>
    <col min="383" max="16384" width="9.140625" style="1"/>
  </cols>
  <sheetData>
    <row r="2" spans="1:38" ht="27.75" customHeight="1" x14ac:dyDescent="0.25">
      <c r="C2" s="55" t="s">
        <v>14</v>
      </c>
      <c r="D2" s="56"/>
      <c r="E2" s="56"/>
      <c r="F2" s="56"/>
      <c r="G2" s="56"/>
      <c r="H2" s="54"/>
      <c r="AC2" s="1"/>
    </row>
    <row r="3" spans="1:38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AC3" s="1"/>
      <c r="AK3" s="3" t="s">
        <v>18</v>
      </c>
      <c r="AL3" s="3" t="s">
        <v>19</v>
      </c>
    </row>
    <row r="4" spans="1:38" ht="27" customHeight="1" x14ac:dyDescent="0.25">
      <c r="AB4" s="4"/>
      <c r="AC4" s="4"/>
      <c r="AD4" s="4"/>
      <c r="AK4" s="5">
        <v>0.5</v>
      </c>
      <c r="AL4" s="5">
        <v>50</v>
      </c>
    </row>
    <row r="5" spans="1:38" ht="27" customHeight="1" x14ac:dyDescent="0.25">
      <c r="D5" s="53" t="s">
        <v>1</v>
      </c>
      <c r="E5" s="56"/>
      <c r="F5" s="56"/>
      <c r="G5" s="56"/>
      <c r="H5" s="54"/>
      <c r="AA5" s="6">
        <f ca="1">X9</f>
        <v>0.8</v>
      </c>
      <c r="AB5" s="8"/>
      <c r="AC5" s="64">
        <v>0.10199999999999999</v>
      </c>
      <c r="AD5" s="4"/>
    </row>
    <row r="6" spans="1:38" ht="27" customHeight="1" x14ac:dyDescent="0.25">
      <c r="D6" s="7">
        <v>0</v>
      </c>
      <c r="E6" s="7">
        <v>1</v>
      </c>
      <c r="F6" s="7">
        <v>0</v>
      </c>
      <c r="G6" s="7">
        <v>1</v>
      </c>
      <c r="H6" s="7">
        <v>0</v>
      </c>
      <c r="AA6" s="8"/>
      <c r="AB6" s="8"/>
      <c r="AC6" s="51"/>
      <c r="AD6" s="4"/>
    </row>
    <row r="7" spans="1:38" ht="27" customHeight="1" x14ac:dyDescent="0.25">
      <c r="D7" s="7">
        <v>0</v>
      </c>
      <c r="E7" s="7">
        <v>1</v>
      </c>
      <c r="F7" s="7">
        <v>0</v>
      </c>
      <c r="G7" s="7">
        <v>1</v>
      </c>
      <c r="H7" s="7">
        <v>0</v>
      </c>
      <c r="AA7" s="8"/>
      <c r="AB7" s="52"/>
      <c r="AC7" s="52"/>
      <c r="AD7" s="4"/>
    </row>
    <row r="8" spans="1:38" ht="27" customHeight="1" x14ac:dyDescent="0.25">
      <c r="D8" s="7">
        <v>0</v>
      </c>
      <c r="E8" s="7">
        <v>1</v>
      </c>
      <c r="F8" s="7">
        <v>1</v>
      </c>
      <c r="G8" s="7">
        <v>1</v>
      </c>
      <c r="H8" s="7">
        <v>0</v>
      </c>
      <c r="I8" s="10"/>
      <c r="J8" s="10"/>
      <c r="K8" s="10"/>
      <c r="L8" s="10"/>
      <c r="M8" s="10"/>
      <c r="N8" s="10"/>
      <c r="O8" s="10"/>
      <c r="S8" s="57" t="s">
        <v>3</v>
      </c>
      <c r="T8" s="58"/>
      <c r="U8" s="58"/>
      <c r="V8" s="59"/>
      <c r="X8" s="53" t="s">
        <v>4</v>
      </c>
      <c r="Y8" s="54"/>
      <c r="AA8" s="11">
        <f ca="1">Y9</f>
        <v>1</v>
      </c>
      <c r="AB8" s="8"/>
      <c r="AC8" s="64">
        <v>8.0000000000000002E-3</v>
      </c>
      <c r="AD8" s="4"/>
      <c r="AH8" s="12" t="s">
        <v>15</v>
      </c>
      <c r="AI8" s="13">
        <f ca="1">1/(1+EXP(-AF9))</f>
        <v>0.70503692535076901</v>
      </c>
    </row>
    <row r="9" spans="1:38" ht="27" customHeight="1" x14ac:dyDescent="0.25">
      <c r="D9" s="7">
        <v>0</v>
      </c>
      <c r="E9" s="7">
        <v>0</v>
      </c>
      <c r="F9" s="7">
        <v>0</v>
      </c>
      <c r="G9" s="7">
        <v>1</v>
      </c>
      <c r="H9" s="7">
        <v>0</v>
      </c>
      <c r="I9" s="10"/>
      <c r="J9" s="7">
        <f ca="1">D24</f>
        <v>1</v>
      </c>
      <c r="K9" s="7">
        <f t="shared" ref="K9:N9" ca="1" si="0">E24</f>
        <v>0</v>
      </c>
      <c r="L9" s="7">
        <f t="shared" ca="1" si="0"/>
        <v>0</v>
      </c>
      <c r="M9" s="7">
        <f t="shared" ca="1" si="0"/>
        <v>0</v>
      </c>
      <c r="N9" s="7">
        <f t="shared" ca="1" si="0"/>
        <v>1</v>
      </c>
      <c r="R9" s="14"/>
      <c r="S9" s="15">
        <f ca="1">IF(SUMPRODUCT(J9:K10,$P$10:$Q$11)&lt;0,0,SUMPRODUCT(J9:K10,$P$10:$Q$11))</f>
        <v>0.8</v>
      </c>
      <c r="T9" s="16">
        <f t="shared" ref="T9:V9" ca="1" si="1">IF(SUMPRODUCT(K9:L10,$P$10:$Q$11)&lt;0,0,SUMPRODUCT(K9:L10,$P$10:$Q$11))</f>
        <v>0</v>
      </c>
      <c r="U9" s="16">
        <f t="shared" ca="1" si="1"/>
        <v>0</v>
      </c>
      <c r="V9" s="17">
        <f t="shared" ca="1" si="1"/>
        <v>0</v>
      </c>
      <c r="X9" s="18">
        <f ca="1">MAX(S9:T10)</f>
        <v>0.8</v>
      </c>
      <c r="Y9" s="19">
        <f ca="1">MAX(U9:V10)</f>
        <v>1</v>
      </c>
      <c r="AA9" s="8"/>
      <c r="AB9" s="8"/>
      <c r="AC9" s="51"/>
      <c r="AD9" s="4"/>
      <c r="AE9" s="66" t="s">
        <v>0</v>
      </c>
      <c r="AF9" s="65">
        <f ca="1">AA5*AC5+AA8*AC8+AA11*AC11+AA14*AC14</f>
        <v>0.87140000000000006</v>
      </c>
      <c r="AH9" s="20" t="s">
        <v>12</v>
      </c>
      <c r="AI9" s="21">
        <v>1</v>
      </c>
    </row>
    <row r="10" spans="1:38" ht="27" customHeight="1" x14ac:dyDescent="0.25">
      <c r="D10" s="7">
        <v>0</v>
      </c>
      <c r="E10" s="7">
        <v>0</v>
      </c>
      <c r="F10" s="7">
        <v>0</v>
      </c>
      <c r="G10" s="7">
        <v>1</v>
      </c>
      <c r="H10" s="7">
        <v>0</v>
      </c>
      <c r="I10" s="10"/>
      <c r="J10" s="7">
        <f t="shared" ref="J10:J13" ca="1" si="2">D25</f>
        <v>0</v>
      </c>
      <c r="K10" s="7">
        <f t="shared" ref="K10:K13" ca="1" si="3">E25</f>
        <v>1</v>
      </c>
      <c r="L10" s="7">
        <f t="shared" ref="L10:L13" ca="1" si="4">F25</f>
        <v>0</v>
      </c>
      <c r="M10" s="7">
        <f t="shared" ref="M10:M13" ca="1" si="5">G25</f>
        <v>1</v>
      </c>
      <c r="N10" s="7">
        <f t="shared" ref="N10:N13" ca="1" si="6">H25</f>
        <v>0</v>
      </c>
      <c r="P10" s="60">
        <v>1</v>
      </c>
      <c r="Q10" s="61">
        <v>0.02</v>
      </c>
      <c r="S10" s="23">
        <f t="shared" ref="S10:S12" ca="1" si="7">IF(SUMPRODUCT(J10:K11,$P$10:$Q$11)&lt;0,0,SUMPRODUCT(J10:K11,$P$10:$Q$11))</f>
        <v>0.02</v>
      </c>
      <c r="T10" s="24">
        <f t="shared" ref="T10:T12" ca="1" si="8">IF(SUMPRODUCT(K10:L11,$P$10:$Q$11)&lt;0,0,SUMPRODUCT(K10:L11,$P$10:$Q$11))</f>
        <v>0.8</v>
      </c>
      <c r="U10" s="24">
        <f t="shared" ref="U10:U12" ca="1" si="9">IF(SUMPRODUCT(L10:M11,$P$10:$Q$11)&lt;0,0,SUMPRODUCT(L10:M11,$P$10:$Q$11))</f>
        <v>0</v>
      </c>
      <c r="V10" s="25">
        <f t="shared" ref="V10:V12" ca="1" si="10">IF(SUMPRODUCT(M10:N11,$P$10:$Q$11)&lt;0,0,SUMPRODUCT(M10:N11,$P$10:$Q$11))</f>
        <v>1</v>
      </c>
      <c r="X10" s="26">
        <f ca="1">MAX(S11:T12)</f>
        <v>1</v>
      </c>
      <c r="Y10" s="27">
        <f ca="1">MAX(U11:V12)</f>
        <v>0.8</v>
      </c>
      <c r="AA10" s="8"/>
      <c r="AB10" s="52"/>
      <c r="AC10" s="52"/>
      <c r="AD10" s="4"/>
      <c r="AH10" s="28" t="s">
        <v>16</v>
      </c>
      <c r="AI10" s="50">
        <f ca="1">-AI9*LN(AI8)-(1-AI9)*LN(1-AI8)</f>
        <v>0.3495051011573938</v>
      </c>
    </row>
    <row r="11" spans="1:38" ht="27" customHeight="1" x14ac:dyDescent="0.25">
      <c r="I11" s="10"/>
      <c r="J11" s="7">
        <f t="shared" ca="1" si="2"/>
        <v>0</v>
      </c>
      <c r="K11" s="7">
        <f t="shared" ca="1" si="3"/>
        <v>0</v>
      </c>
      <c r="L11" s="7">
        <f t="shared" ca="1" si="4"/>
        <v>1</v>
      </c>
      <c r="M11" s="7">
        <f t="shared" ca="1" si="5"/>
        <v>0</v>
      </c>
      <c r="N11" s="7">
        <f t="shared" ca="1" si="6"/>
        <v>0</v>
      </c>
      <c r="P11" s="62">
        <v>-2</v>
      </c>
      <c r="Q11" s="63">
        <v>-0.2</v>
      </c>
      <c r="S11" s="23">
        <f t="shared" ca="1" si="7"/>
        <v>0</v>
      </c>
      <c r="T11" s="24">
        <f t="shared" ca="1" si="8"/>
        <v>0</v>
      </c>
      <c r="U11" s="24">
        <f t="shared" ca="1" si="9"/>
        <v>0.8</v>
      </c>
      <c r="V11" s="25">
        <f t="shared" ca="1" si="10"/>
        <v>0</v>
      </c>
      <c r="AA11" s="29">
        <f ca="1">X10</f>
        <v>1</v>
      </c>
      <c r="AB11" s="8"/>
      <c r="AC11" s="64">
        <v>0.78100000000000003</v>
      </c>
      <c r="AD11" s="4"/>
    </row>
    <row r="12" spans="1:38" ht="27" customHeight="1" x14ac:dyDescent="0.25">
      <c r="D12" s="53" t="s">
        <v>2</v>
      </c>
      <c r="E12" s="56"/>
      <c r="F12" s="56"/>
      <c r="G12" s="56"/>
      <c r="H12" s="54"/>
      <c r="I12" s="10"/>
      <c r="J12" s="7">
        <f t="shared" ca="1" si="2"/>
        <v>0</v>
      </c>
      <c r="K12" s="7">
        <f t="shared" ca="1" si="3"/>
        <v>1</v>
      </c>
      <c r="L12" s="7">
        <f t="shared" ca="1" si="4"/>
        <v>0</v>
      </c>
      <c r="M12" s="7">
        <f t="shared" ca="1" si="5"/>
        <v>1</v>
      </c>
      <c r="N12" s="7">
        <f t="shared" ca="1" si="6"/>
        <v>0</v>
      </c>
      <c r="S12" s="30">
        <f t="shared" ca="1" si="7"/>
        <v>0</v>
      </c>
      <c r="T12" s="31">
        <f t="shared" ca="1" si="8"/>
        <v>1</v>
      </c>
      <c r="U12" s="31">
        <f t="shared" ca="1" si="9"/>
        <v>0.02</v>
      </c>
      <c r="V12" s="32">
        <f t="shared" ca="1" si="10"/>
        <v>0.8</v>
      </c>
      <c r="AA12" s="8"/>
      <c r="AB12" s="8"/>
      <c r="AC12" s="51"/>
      <c r="AD12" s="4"/>
    </row>
    <row r="13" spans="1:38" ht="27" customHeight="1" x14ac:dyDescent="0.25">
      <c r="D13" s="7">
        <v>1</v>
      </c>
      <c r="E13" s="7">
        <v>0</v>
      </c>
      <c r="F13" s="7">
        <v>0</v>
      </c>
      <c r="G13" s="7">
        <v>0</v>
      </c>
      <c r="H13" s="7">
        <v>1</v>
      </c>
      <c r="I13" s="10"/>
      <c r="J13" s="7">
        <f t="shared" ca="1" si="2"/>
        <v>1</v>
      </c>
      <c r="K13" s="7">
        <f t="shared" ca="1" si="3"/>
        <v>0</v>
      </c>
      <c r="L13" s="7">
        <f t="shared" ca="1" si="4"/>
        <v>0</v>
      </c>
      <c r="M13" s="7">
        <f t="shared" ca="1" si="5"/>
        <v>0</v>
      </c>
      <c r="N13" s="7">
        <f t="shared" ca="1" si="6"/>
        <v>1</v>
      </c>
      <c r="AA13" s="8"/>
      <c r="AB13" s="52"/>
      <c r="AC13" s="52"/>
      <c r="AD13" s="4"/>
    </row>
    <row r="14" spans="1:38" ht="27" customHeight="1" x14ac:dyDescent="0.25">
      <c r="B14" s="2"/>
      <c r="C14" s="2"/>
      <c r="D14" s="7">
        <v>0</v>
      </c>
      <c r="E14" s="7">
        <v>1</v>
      </c>
      <c r="F14" s="7">
        <v>0</v>
      </c>
      <c r="G14" s="7">
        <v>1</v>
      </c>
      <c r="H14" s="7"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3"/>
      <c r="U14" s="33"/>
      <c r="V14" s="33"/>
      <c r="W14" s="33"/>
      <c r="X14" s="33"/>
      <c r="Y14" s="33"/>
      <c r="Z14" s="2"/>
      <c r="AA14" s="34">
        <f ca="1">Y10</f>
        <v>0.8</v>
      </c>
      <c r="AB14" s="8"/>
      <c r="AC14" s="64">
        <v>1E-3</v>
      </c>
      <c r="AD14" s="4"/>
    </row>
    <row r="15" spans="1:38" ht="27" customHeight="1" x14ac:dyDescent="0.25">
      <c r="B15" s="2"/>
      <c r="C15" s="2"/>
      <c r="D15" s="7">
        <v>0</v>
      </c>
      <c r="E15" s="7">
        <v>0</v>
      </c>
      <c r="F15" s="7">
        <v>1</v>
      </c>
      <c r="G15" s="7">
        <v>0</v>
      </c>
      <c r="H15" s="7">
        <v>0</v>
      </c>
      <c r="I15" s="2"/>
      <c r="AC15" s="1"/>
    </row>
    <row r="16" spans="1:38" ht="27" customHeight="1" x14ac:dyDescent="0.25">
      <c r="C16" s="2"/>
      <c r="D16" s="7">
        <v>0</v>
      </c>
      <c r="E16" s="7">
        <v>1</v>
      </c>
      <c r="F16" s="7">
        <v>0</v>
      </c>
      <c r="G16" s="7">
        <v>1</v>
      </c>
      <c r="H16" s="7">
        <v>0</v>
      </c>
      <c r="I16" s="2"/>
      <c r="AC16" s="1"/>
    </row>
    <row r="17" spans="2:35" ht="27" customHeight="1" x14ac:dyDescent="0.25">
      <c r="C17" s="2"/>
      <c r="D17" s="7">
        <v>1</v>
      </c>
      <c r="E17" s="7">
        <v>0</v>
      </c>
      <c r="F17" s="7">
        <v>0</v>
      </c>
      <c r="G17" s="7">
        <v>0</v>
      </c>
      <c r="H17" s="7">
        <v>1</v>
      </c>
      <c r="I17" s="2"/>
      <c r="AC17" s="1"/>
    </row>
    <row r="18" spans="2:35" ht="15.75" customHeight="1" x14ac:dyDescent="0.25">
      <c r="C18" s="2"/>
      <c r="I18" s="2"/>
      <c r="AC18" s="1"/>
    </row>
    <row r="19" spans="2:35" x14ac:dyDescent="0.25">
      <c r="C19" s="2"/>
      <c r="I19" s="2"/>
      <c r="AC19" s="1"/>
    </row>
    <row r="20" spans="2:35" hidden="1" x14ac:dyDescent="0.25">
      <c r="C20" s="2"/>
      <c r="I20" s="2"/>
      <c r="V20" s="33"/>
      <c r="X20" s="33"/>
      <c r="Y20" s="2"/>
      <c r="AC20" s="9" t="s">
        <v>13</v>
      </c>
      <c r="AD20" s="9" t="s">
        <v>11</v>
      </c>
      <c r="AI20" s="1" t="s">
        <v>17</v>
      </c>
    </row>
    <row r="21" spans="2:35" hidden="1" x14ac:dyDescent="0.25">
      <c r="C21" s="2"/>
      <c r="D21" s="2"/>
      <c r="E21" s="2"/>
      <c r="F21" s="2"/>
      <c r="G21" s="2"/>
      <c r="H21" s="2"/>
      <c r="I21" s="2"/>
      <c r="J21" s="2"/>
      <c r="K21" s="2"/>
      <c r="V21" s="33"/>
      <c r="W21" s="33"/>
      <c r="X21" s="33"/>
      <c r="Y21" s="2"/>
      <c r="AA21" s="35">
        <v>0.10199999999999999</v>
      </c>
      <c r="AC21" s="35">
        <f ca="1">AC5+$AK$4*AD21</f>
        <v>0.12653619179433961</v>
      </c>
      <c r="AD21" s="9">
        <f ca="1">$AI$21*AA5*$AI$8*(1-$AI$8)</f>
        <v>4.9072383588679228E-2</v>
      </c>
      <c r="AF21" s="35">
        <f ca="1">RANDBETWEEN(-100,100)/100</f>
        <v>-0.9</v>
      </c>
      <c r="AG21" s="36">
        <f ca="1">AA5*AC5</f>
        <v>8.1600000000000006E-2</v>
      </c>
      <c r="AI21" s="37">
        <f ca="1">AI9-AI8</f>
        <v>0.29496307464923099</v>
      </c>
    </row>
    <row r="22" spans="2:35" hidden="1" x14ac:dyDescent="0.25">
      <c r="B22" s="2"/>
      <c r="C22" s="38"/>
      <c r="D22" s="38"/>
      <c r="E22" s="38"/>
      <c r="F22" s="38"/>
      <c r="G22" s="38"/>
      <c r="H22" s="2"/>
      <c r="I22" s="2"/>
      <c r="J22" s="2"/>
      <c r="K22" s="2"/>
      <c r="V22" s="33"/>
      <c r="X22" s="33"/>
      <c r="Y22" s="2"/>
      <c r="AD22" s="14">
        <f ca="1">$AI$21*AC5*$AI$8*(1-$AI$8)</f>
        <v>6.2567289075566006E-3</v>
      </c>
      <c r="AF22" s="9"/>
    </row>
    <row r="23" spans="2:35" hidden="1" x14ac:dyDescent="0.25">
      <c r="B23" s="2"/>
      <c r="C23" s="38"/>
      <c r="D23" s="53" t="s">
        <v>5</v>
      </c>
      <c r="E23" s="56"/>
      <c r="F23" s="56"/>
      <c r="G23" s="56"/>
      <c r="H23" s="54"/>
      <c r="I23" s="2"/>
      <c r="J23" s="2"/>
      <c r="K23" s="2"/>
      <c r="U23" s="33" t="s">
        <v>7</v>
      </c>
      <c r="W23" s="39">
        <f ca="1">IF(S9=$X$9,$AD22,0)</f>
        <v>6.2567289075566006E-3</v>
      </c>
      <c r="X23" s="40">
        <f ca="1">IF(AND(T9=$X$9,S9&lt;$X$9),$AD22,0)</f>
        <v>0</v>
      </c>
      <c r="Y23" s="39">
        <f ca="1">IF(U9=$Y$9,$AD25,0)</f>
        <v>0</v>
      </c>
      <c r="Z23" s="40">
        <f ca="1">IF(AND(V9=$Y$9,U9&lt;$Y$9),$AD25,0)</f>
        <v>0</v>
      </c>
      <c r="AC23" s="1"/>
      <c r="AD23" s="4"/>
      <c r="AF23" s="9"/>
    </row>
    <row r="24" spans="2:35" hidden="1" x14ac:dyDescent="0.25">
      <c r="B24" s="2"/>
      <c r="C24" s="38"/>
      <c r="D24" s="41">
        <f ca="1">IF($AI$9=0,IF(D6=0,RANDBETWEEN(0,0)/10000,RANDBETWEEN(10000,10000)/10000),IF(D13=0,RANDBETWEEN(0,0)/10000,RANDBETWEEN(10000,10000)/10000))</f>
        <v>1</v>
      </c>
      <c r="E24" s="41">
        <f t="shared" ref="E24:H24" ca="1" si="11">IF($AI$9=0,IF(E6=0,RANDBETWEEN(0,0)/10000,RANDBETWEEN(10000,10000)/10000),IF(E13=0,RANDBETWEEN(0,0)/10000,RANDBETWEEN(10000,10000)/10000))</f>
        <v>0</v>
      </c>
      <c r="F24" s="41">
        <f t="shared" ca="1" si="11"/>
        <v>0</v>
      </c>
      <c r="G24" s="41">
        <f t="shared" ca="1" si="11"/>
        <v>0</v>
      </c>
      <c r="H24" s="41">
        <f t="shared" ca="1" si="11"/>
        <v>1</v>
      </c>
      <c r="I24" s="2"/>
      <c r="J24" s="2"/>
      <c r="K24" s="2"/>
      <c r="M24" s="60">
        <f>1</f>
        <v>1</v>
      </c>
      <c r="N24" s="61">
        <f>0.02</f>
        <v>0.02</v>
      </c>
      <c r="P24" s="60">
        <f ca="1">P10+$AK$4*W28</f>
        <v>1.0273578538506887</v>
      </c>
      <c r="Q24" s="61">
        <f ca="1">Q10+$AK$4*X28</f>
        <v>0.02</v>
      </c>
      <c r="W24" s="42">
        <f ca="1">IF(AND(S10=$X$9,S9&lt;$X$9,T9&lt;$X$9),$AD22,0)</f>
        <v>0</v>
      </c>
      <c r="X24" s="43">
        <f ca="1">IF(AND(T10=$X$9,S9&lt;$X$9,T9&lt;$X$9,S10&lt;$X$9),$AD22,0)</f>
        <v>0</v>
      </c>
      <c r="Y24" s="42">
        <f ca="1">IF(AND(U10=$Y$9,U9&lt;$Y$9,V9&lt;$Y$9),$AD25,0)</f>
        <v>0</v>
      </c>
      <c r="Z24" s="43">
        <f ca="1">IF(AND(V10=$Y$9,U9&lt;$Y$9,V9&lt;$Y$9,U10&lt;$Y$9),$AD25,0)</f>
        <v>4.9072383588679228E-4</v>
      </c>
      <c r="AA24" s="35">
        <v>8.0000000000000002E-3</v>
      </c>
      <c r="AC24" s="44">
        <f ca="1">AC8+$AK$4*AD24</f>
        <v>3.8670239742924516E-2</v>
      </c>
      <c r="AD24" s="9">
        <f ca="1">$AI$21*AA8*$AI$8*(1-$AI$8)</f>
        <v>6.1340479485849031E-2</v>
      </c>
      <c r="AF24" s="35">
        <f ca="1">RANDBETWEEN(-100,100)/100</f>
        <v>-0.08</v>
      </c>
      <c r="AG24" s="36">
        <f ca="1">AA8*AC8</f>
        <v>8.0000000000000002E-3</v>
      </c>
    </row>
    <row r="25" spans="2:35" hidden="1" x14ac:dyDescent="0.25">
      <c r="B25" s="2"/>
      <c r="C25" s="38"/>
      <c r="D25" s="41">
        <f t="shared" ref="D25:H25" ca="1" si="12">IF($AI$9=0,IF(D7=0,RANDBETWEEN(0,0)/10000,RANDBETWEEN(10000,10000)/10000),IF(D14=0,RANDBETWEEN(0,0)/10000,RANDBETWEEN(10000,10000)/10000))</f>
        <v>0</v>
      </c>
      <c r="E25" s="41">
        <f t="shared" ca="1" si="12"/>
        <v>1</v>
      </c>
      <c r="F25" s="41">
        <f t="shared" ca="1" si="12"/>
        <v>0</v>
      </c>
      <c r="G25" s="41">
        <f t="shared" ca="1" si="12"/>
        <v>1</v>
      </c>
      <c r="H25" s="41">
        <f t="shared" ca="1" si="12"/>
        <v>0</v>
      </c>
      <c r="I25" s="2"/>
      <c r="J25" s="2"/>
      <c r="K25" s="2"/>
      <c r="M25" s="62">
        <f>-2</f>
        <v>-2</v>
      </c>
      <c r="N25" s="63">
        <f>-0.2</f>
        <v>-0.2</v>
      </c>
      <c r="P25" s="62">
        <f ca="1">P11+$AK$4*W29</f>
        <v>-2</v>
      </c>
      <c r="Q25" s="63">
        <f ca="1">Q11+$AK$4*X29</f>
        <v>-0.19684096530647879</v>
      </c>
      <c r="W25" s="39">
        <f ca="1">IF(S11=$X$10,$AD28,0)</f>
        <v>0</v>
      </c>
      <c r="X25" s="40">
        <f ca="1">IF(AND(T11=$X$10,S11&lt;$X$10),$AD28,0)</f>
        <v>0</v>
      </c>
      <c r="Y25" s="39">
        <f ca="1">IF(U11=$Y$10,$AD31,0)</f>
        <v>6.1340479485849034E-5</v>
      </c>
      <c r="Z25" s="40">
        <f ca="1">IF(AND(V11=$Y$10,U11&lt;$Y$10),$AD31,0)</f>
        <v>0</v>
      </c>
      <c r="AA25" s="2"/>
      <c r="AD25" s="14">
        <f ca="1">$AI$21*AC8*$AI$8*(1-$AI$8)</f>
        <v>4.9072383588679228E-4</v>
      </c>
      <c r="AF25" s="9"/>
    </row>
    <row r="26" spans="2:35" hidden="1" x14ac:dyDescent="0.25">
      <c r="B26" s="2"/>
      <c r="C26" s="38"/>
      <c r="D26" s="41">
        <f t="shared" ref="D26:H26" ca="1" si="13">IF($AI$9=0,IF(D8=0,RANDBETWEEN(0,0)/10000,RANDBETWEEN(10000,10000)/10000),IF(D15=0,RANDBETWEEN(0,0)/10000,RANDBETWEEN(10000,10000)/10000))</f>
        <v>0</v>
      </c>
      <c r="E26" s="41">
        <f t="shared" ca="1" si="13"/>
        <v>0</v>
      </c>
      <c r="F26" s="41">
        <f t="shared" ca="1" si="13"/>
        <v>1</v>
      </c>
      <c r="G26" s="41">
        <f t="shared" ca="1" si="13"/>
        <v>0</v>
      </c>
      <c r="H26" s="41">
        <f t="shared" ca="1" si="13"/>
        <v>0</v>
      </c>
      <c r="I26" s="2"/>
      <c r="J26" s="2"/>
      <c r="K26" s="2"/>
      <c r="W26" s="42">
        <f ca="1">IF(AND(S12=$X$10,S11&lt;$X$10,T11&lt;$X$10),$AD28,0)</f>
        <v>0</v>
      </c>
      <c r="X26" s="43">
        <f ca="1">IF(AND(T12=$X$10,S11&lt;$X$10,T11&lt;$X$10,S12&lt;$X$10),$AD28,0)</f>
        <v>4.7906914478448095E-2</v>
      </c>
      <c r="Y26" s="42">
        <f ca="1">IF(AND(U12=$Y$10,U11&lt;$Y$10,V11&lt;$Y$10),$AD31,0)</f>
        <v>0</v>
      </c>
      <c r="Z26" s="43">
        <f ca="1">IF(AND(V12=$Y$10,U11&lt;$Y$10,V11&lt;$Y$10,U12&lt;$Y$10),$AD31,0)</f>
        <v>0</v>
      </c>
      <c r="AA26" s="2"/>
      <c r="AC26" s="1"/>
      <c r="AF26" s="9"/>
    </row>
    <row r="27" spans="2:35" hidden="1" x14ac:dyDescent="0.25">
      <c r="B27" s="2"/>
      <c r="C27" s="2"/>
      <c r="D27" s="41">
        <f t="shared" ref="D27:H27" ca="1" si="14">IF($AI$9=0,IF(D9=0,RANDBETWEEN(0,0)/10000,RANDBETWEEN(10000,10000)/10000),IF(D16=0,RANDBETWEEN(0,0)/10000,RANDBETWEEN(10000,10000)/10000))</f>
        <v>0</v>
      </c>
      <c r="E27" s="41">
        <f t="shared" ca="1" si="14"/>
        <v>1</v>
      </c>
      <c r="F27" s="41">
        <f t="shared" ca="1" si="14"/>
        <v>0</v>
      </c>
      <c r="G27" s="41">
        <f t="shared" ca="1" si="14"/>
        <v>1</v>
      </c>
      <c r="H27" s="41">
        <f t="shared" ca="1" si="14"/>
        <v>0</v>
      </c>
      <c r="I27" s="2"/>
      <c r="J27" s="2"/>
      <c r="K27" s="2"/>
      <c r="U27" s="33"/>
      <c r="V27" s="33"/>
      <c r="X27" s="33"/>
      <c r="Y27" s="33"/>
      <c r="Z27" s="33"/>
      <c r="AA27" s="35">
        <v>0.78100000000000003</v>
      </c>
      <c r="AC27" s="35">
        <f ca="1">AC11+$AK$4*AD27</f>
        <v>0.81167023974292452</v>
      </c>
      <c r="AD27" s="9">
        <f ca="1">$AI$21*AA11*$AI$8*(1-$AI$8)</f>
        <v>6.1340479485849031E-2</v>
      </c>
      <c r="AF27" s="35">
        <f ca="1">RANDBETWEEN(-100,100)/100</f>
        <v>-0.4</v>
      </c>
      <c r="AG27" s="36">
        <f ca="1">AA11*AC11</f>
        <v>0.78100000000000003</v>
      </c>
    </row>
    <row r="28" spans="2:35" hidden="1" x14ac:dyDescent="0.25">
      <c r="B28" s="2"/>
      <c r="C28" s="2"/>
      <c r="D28" s="41">
        <f t="shared" ref="D28:H28" ca="1" si="15">IF($AI$9=0,IF(D10=0,RANDBETWEEN(0,0)/10000,RANDBETWEEN(10000,10000)/10000),IF(D17=0,RANDBETWEEN(0,0)/10000,RANDBETWEEN(10000,10000)/10000))</f>
        <v>1</v>
      </c>
      <c r="E28" s="41">
        <f t="shared" ca="1" si="15"/>
        <v>0</v>
      </c>
      <c r="F28" s="41">
        <f t="shared" ca="1" si="15"/>
        <v>0</v>
      </c>
      <c r="G28" s="41">
        <f t="shared" ca="1" si="15"/>
        <v>0</v>
      </c>
      <c r="H28" s="41">
        <f t="shared" ca="1" si="15"/>
        <v>1</v>
      </c>
      <c r="I28" s="2"/>
      <c r="J28" s="2"/>
      <c r="K28" s="2"/>
      <c r="U28" s="1" t="s">
        <v>6</v>
      </c>
      <c r="V28" s="33"/>
      <c r="W28" s="22">
        <f ca="1">SUMPRODUCT(J9:M12,$W$23:$Z$26)</f>
        <v>5.4715707701377334E-2</v>
      </c>
      <c r="X28" s="22">
        <f ca="1">SUMPRODUCT(K9:N12,$W$23:$Z$26)</f>
        <v>0</v>
      </c>
      <c r="Y28" s="33"/>
      <c r="Z28" s="33"/>
      <c r="AA28" s="33"/>
      <c r="AD28" s="14">
        <f ca="1">$AI$21*AC11*$AI$8*(1-$AI$8)</f>
        <v>4.7906914478448095E-2</v>
      </c>
      <c r="AF28" s="9"/>
    </row>
    <row r="29" spans="2:35" hidden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N29" s="2"/>
      <c r="O29" s="2"/>
      <c r="U29" s="33"/>
      <c r="V29" s="33"/>
      <c r="W29" s="22">
        <f ca="1">SUMPRODUCT(J10:M13,$W$23:$Z$26)</f>
        <v>0</v>
      </c>
      <c r="X29" s="22">
        <f ca="1">SUMPRODUCT(K10:N13,$W$23:$Z$26)</f>
        <v>6.3180693870424492E-3</v>
      </c>
      <c r="Y29" s="33"/>
      <c r="Z29" s="33"/>
      <c r="AA29" s="33"/>
      <c r="AF29" s="9"/>
    </row>
    <row r="30" spans="2:35" hidden="1" x14ac:dyDescent="0.25">
      <c r="O30" s="2"/>
      <c r="U30" s="33"/>
      <c r="V30" s="33"/>
      <c r="X30" s="33"/>
      <c r="Y30" s="33"/>
      <c r="Z30" s="33"/>
      <c r="AA30" s="35">
        <v>1E-3</v>
      </c>
      <c r="AC30" s="35">
        <f ca="1">AC14+$AK$4*AD30</f>
        <v>2.5536191794339615E-2</v>
      </c>
      <c r="AD30" s="9">
        <f ca="1">$AI$21*AA14*$AI$8*(1-$AI$8)</f>
        <v>4.9072383588679228E-2</v>
      </c>
      <c r="AF30" s="35">
        <f ca="1">RANDBETWEEN(-100,100)/100</f>
        <v>-0.28000000000000003</v>
      </c>
      <c r="AG30" s="36">
        <f ca="1">AA14*AC14</f>
        <v>8.0000000000000004E-4</v>
      </c>
    </row>
    <row r="31" spans="2:35" hidden="1" x14ac:dyDescent="0.25">
      <c r="O31" s="2"/>
      <c r="P31" s="2"/>
      <c r="Q31" s="2"/>
      <c r="R31" s="2"/>
      <c r="U31" s="33" t="s">
        <v>8</v>
      </c>
      <c r="V31" s="33"/>
      <c r="W31" s="22">
        <f ca="1">X29</f>
        <v>6.3180693870424492E-3</v>
      </c>
      <c r="X31" s="22">
        <f ca="1">W29</f>
        <v>0</v>
      </c>
      <c r="Y31" s="33"/>
      <c r="Z31" s="33"/>
      <c r="AA31" s="33"/>
      <c r="AD31" s="45">
        <f ca="1">$AI$21*AC14*$AI$8*(1-$AI$8)</f>
        <v>6.1340479485849034E-5</v>
      </c>
    </row>
    <row r="32" spans="2:35" hidden="1" x14ac:dyDescent="0.25">
      <c r="O32" s="2"/>
      <c r="P32" s="2"/>
      <c r="Q32" s="2"/>
      <c r="R32" s="2"/>
      <c r="S32" s="2"/>
      <c r="T32" s="33"/>
      <c r="U32" s="33"/>
      <c r="V32" s="33"/>
      <c r="W32" s="22">
        <f ca="1">X28</f>
        <v>0</v>
      </c>
      <c r="X32" s="22">
        <f ca="1">W28</f>
        <v>5.4715707701377334E-2</v>
      </c>
      <c r="Y32" s="33"/>
      <c r="Z32" s="33"/>
      <c r="AA32" s="33"/>
    </row>
    <row r="33" spans="15:27" hidden="1" x14ac:dyDescent="0.25">
      <c r="O33" s="2"/>
      <c r="P33" s="2"/>
      <c r="Q33" s="2"/>
      <c r="R33" s="2"/>
      <c r="S33" s="2"/>
      <c r="T33" s="33"/>
      <c r="U33" s="33"/>
      <c r="V33" s="33"/>
      <c r="W33" s="33"/>
      <c r="X33" s="33"/>
      <c r="Y33" s="33"/>
      <c r="Z33" s="33"/>
      <c r="AA33" s="33"/>
    </row>
    <row r="34" spans="15:27" hidden="1" x14ac:dyDescent="0.25">
      <c r="O34" s="2"/>
      <c r="P34" s="2"/>
      <c r="Q34" s="2"/>
      <c r="R34" s="2"/>
      <c r="S34" s="2"/>
      <c r="T34" s="33"/>
      <c r="U34" s="33"/>
      <c r="V34" s="33"/>
      <c r="X34" s="33"/>
      <c r="Y34" s="33"/>
      <c r="Z34" s="33"/>
      <c r="AA34" s="33"/>
    </row>
    <row r="35" spans="15:27" hidden="1" x14ac:dyDescent="0.25">
      <c r="O35" s="2"/>
      <c r="P35" s="2"/>
      <c r="Q35" s="2" t="s">
        <v>10</v>
      </c>
      <c r="R35" s="2"/>
      <c r="S35" s="2"/>
      <c r="T35" s="33" t="s">
        <v>9</v>
      </c>
      <c r="U35" s="33"/>
      <c r="V35" s="15">
        <f ca="1">SUMPRODUCT($W$31:$X$32,V22:W23)</f>
        <v>3.4234135007262488E-4</v>
      </c>
      <c r="W35" s="15">
        <f t="shared" ref="W35:Z35" ca="1" si="16">SUMPRODUCT($W$31:$X$32,W22:X23)</f>
        <v>0</v>
      </c>
      <c r="X35" s="15">
        <f t="shared" ca="1" si="16"/>
        <v>0</v>
      </c>
      <c r="Y35" s="15">
        <f t="shared" ca="1" si="16"/>
        <v>0</v>
      </c>
      <c r="Z35" s="46">
        <f t="shared" ca="1" si="16"/>
        <v>0</v>
      </c>
      <c r="AA35" s="33"/>
    </row>
    <row r="36" spans="15:27" hidden="1" x14ac:dyDescent="0.25">
      <c r="O36" s="2"/>
      <c r="P36" s="2"/>
      <c r="Q36" s="2"/>
      <c r="R36" s="2"/>
      <c r="S36" s="2"/>
      <c r="T36" s="33"/>
      <c r="U36" s="33"/>
      <c r="V36" s="15">
        <f t="shared" ref="V36:Z36" ca="1" si="17">SUMPRODUCT($W$31:$X$32,V23:W24)</f>
        <v>0</v>
      </c>
      <c r="W36" s="15">
        <f t="shared" ca="1" si="17"/>
        <v>3.9530447373856903E-5</v>
      </c>
      <c r="X36" s="15">
        <f t="shared" ca="1" si="17"/>
        <v>0</v>
      </c>
      <c r="Y36" s="15">
        <f t="shared" ca="1" si="17"/>
        <v>2.6850301966480387E-5</v>
      </c>
      <c r="Z36" s="46">
        <f t="shared" ca="1" si="17"/>
        <v>4.3772566161101866E-4</v>
      </c>
      <c r="AA36" s="33"/>
    </row>
    <row r="37" spans="15:27" hidden="1" x14ac:dyDescent="0.25">
      <c r="O37" s="2"/>
      <c r="P37" s="2"/>
      <c r="Q37" s="2"/>
      <c r="R37" s="2"/>
      <c r="S37" s="2"/>
      <c r="T37" s="33"/>
      <c r="U37" s="33"/>
      <c r="V37" s="15">
        <f t="shared" ref="V37:Z37" ca="1" si="18">SUMPRODUCT($W$31:$X$32,V24:W25)</f>
        <v>0</v>
      </c>
      <c r="W37" s="15">
        <f t="shared" ca="1" si="18"/>
        <v>0</v>
      </c>
      <c r="X37" s="15">
        <f t="shared" ca="1" si="18"/>
        <v>3.3562877458100484E-6</v>
      </c>
      <c r="Y37" s="15">
        <f t="shared" ca="1" si="18"/>
        <v>0</v>
      </c>
      <c r="Z37" s="46">
        <f t="shared" ca="1" si="18"/>
        <v>3.1004272450083852E-6</v>
      </c>
    </row>
    <row r="38" spans="15:27" hidden="1" x14ac:dyDescent="0.25">
      <c r="O38" s="2"/>
      <c r="P38" s="2"/>
      <c r="Q38" s="2"/>
      <c r="R38" s="2"/>
      <c r="S38" s="2"/>
      <c r="T38" s="33"/>
      <c r="U38" s="33"/>
      <c r="V38" s="15">
        <f t="shared" ref="V38:Z38" ca="1" si="19">SUMPRODUCT($W$31:$X$32,V25:W26)</f>
        <v>0</v>
      </c>
      <c r="W38" s="15">
        <f t="shared" ca="1" si="19"/>
        <v>2.6212607294776478E-3</v>
      </c>
      <c r="X38" s="15">
        <f t="shared" ca="1" si="19"/>
        <v>0</v>
      </c>
      <c r="Y38" s="15">
        <f t="shared" ca="1" si="19"/>
        <v>3.8755340562604816E-7</v>
      </c>
      <c r="Z38" s="46">
        <f t="shared" ca="1" si="19"/>
        <v>0</v>
      </c>
    </row>
    <row r="39" spans="15:27" hidden="1" x14ac:dyDescent="0.25">
      <c r="O39" s="2"/>
      <c r="P39" s="2"/>
      <c r="Q39" s="2"/>
      <c r="R39" s="2"/>
      <c r="S39" s="2"/>
      <c r="T39" s="33"/>
      <c r="U39" s="33"/>
      <c r="V39" s="47">
        <f t="shared" ref="V39:Z39" ca="1" si="20">SUMPRODUCT($W$31:$X$32,V26:W27)</f>
        <v>0</v>
      </c>
      <c r="W39" s="47">
        <f t="shared" ca="1" si="20"/>
        <v>0</v>
      </c>
      <c r="X39" s="47">
        <f t="shared" ca="1" si="20"/>
        <v>3.0267920979394359E-4</v>
      </c>
      <c r="Y39" s="47">
        <f t="shared" ca="1" si="20"/>
        <v>0</v>
      </c>
      <c r="Z39" s="48">
        <f t="shared" ca="1" si="20"/>
        <v>4.2732967714775701E-2</v>
      </c>
    </row>
    <row r="40" spans="15:27" x14ac:dyDescent="0.25">
      <c r="O40" s="2"/>
      <c r="P40" s="2"/>
      <c r="Q40" s="2"/>
      <c r="R40" s="2"/>
      <c r="S40" s="2"/>
      <c r="T40" s="33"/>
      <c r="U40" s="33"/>
      <c r="V40" s="33"/>
      <c r="W40" s="33"/>
      <c r="X40" s="33"/>
      <c r="Y40" s="33"/>
      <c r="Z40" s="2"/>
    </row>
    <row r="41" spans="15:27" ht="27.75" customHeight="1" x14ac:dyDescent="0.25">
      <c r="O41" s="2"/>
      <c r="P41" s="2"/>
      <c r="Q41" s="2"/>
      <c r="R41" s="2"/>
      <c r="S41" s="2"/>
      <c r="T41" s="33"/>
      <c r="U41" s="33"/>
      <c r="V41" s="33"/>
      <c r="W41" s="33"/>
      <c r="X41" s="33"/>
      <c r="Y41" s="33"/>
      <c r="Z41" s="2"/>
    </row>
    <row r="42" spans="15:27" ht="27.75" customHeight="1" x14ac:dyDescent="0.25">
      <c r="O42" s="2"/>
      <c r="P42" s="2"/>
      <c r="Q42" s="2"/>
      <c r="R42" s="2"/>
      <c r="S42" s="2"/>
      <c r="T42" s="33"/>
      <c r="U42" s="33"/>
      <c r="V42" s="33"/>
      <c r="W42" s="33"/>
      <c r="X42" s="33"/>
      <c r="Y42" s="33"/>
      <c r="Z42" s="2"/>
    </row>
    <row r="43" spans="15:27" ht="27.75" customHeight="1" x14ac:dyDescent="0.25">
      <c r="O43" s="2"/>
      <c r="P43" s="2"/>
      <c r="Q43" s="2"/>
      <c r="R43" s="2"/>
      <c r="S43" s="2"/>
      <c r="T43" s="33"/>
      <c r="U43" s="33"/>
      <c r="V43" s="33"/>
      <c r="W43" s="33"/>
      <c r="X43" s="33"/>
      <c r="Y43" s="33"/>
      <c r="Z43" s="2"/>
    </row>
    <row r="44" spans="15:27" ht="27.75" customHeight="1" x14ac:dyDescent="0.25">
      <c r="O44" s="2"/>
      <c r="P44" s="2"/>
      <c r="Q44" s="2"/>
      <c r="R44" s="2"/>
      <c r="S44" s="2"/>
      <c r="T44" s="33"/>
      <c r="U44" s="33"/>
      <c r="V44" s="33"/>
      <c r="W44" s="33"/>
      <c r="X44" s="33"/>
      <c r="Y44" s="33"/>
      <c r="Z44" s="2"/>
    </row>
    <row r="45" spans="15:27" ht="27.75" customHeight="1" x14ac:dyDescent="0.25">
      <c r="O45" s="2"/>
      <c r="P45" s="2"/>
      <c r="Q45" s="2"/>
      <c r="R45" s="2"/>
      <c r="S45" s="2"/>
      <c r="T45" s="33"/>
      <c r="U45" s="33"/>
      <c r="V45" s="33"/>
      <c r="W45" s="33"/>
      <c r="X45" s="33"/>
      <c r="Y45" s="33"/>
      <c r="Z45" s="2"/>
    </row>
    <row r="46" spans="15:27" ht="27.75" customHeight="1" x14ac:dyDescent="0.25">
      <c r="O46" s="2"/>
      <c r="P46" s="2"/>
      <c r="Q46" s="2"/>
      <c r="R46" s="2"/>
      <c r="S46" s="2"/>
      <c r="T46" s="33"/>
      <c r="U46" s="33"/>
      <c r="V46" s="33"/>
      <c r="W46" s="33"/>
      <c r="X46" s="33"/>
      <c r="Y46" s="33"/>
      <c r="Z46" s="2"/>
    </row>
    <row r="47" spans="15:27" ht="27.75" customHeight="1" x14ac:dyDescent="0.25">
      <c r="O47" s="2"/>
      <c r="P47" s="2"/>
      <c r="Q47" s="2"/>
      <c r="R47" s="2"/>
      <c r="S47" s="2"/>
      <c r="T47" s="33"/>
      <c r="U47" s="33"/>
      <c r="V47" s="33"/>
      <c r="W47" s="33"/>
      <c r="X47" s="33"/>
      <c r="Y47" s="33"/>
      <c r="Z47" s="2"/>
    </row>
    <row r="48" spans="15:27" ht="27.75" customHeight="1" x14ac:dyDescent="0.25">
      <c r="O48" s="2"/>
      <c r="P48" s="2"/>
      <c r="Q48" s="2"/>
      <c r="R48" s="2"/>
      <c r="S48" s="2"/>
      <c r="T48" s="33"/>
      <c r="U48" s="33"/>
      <c r="V48" s="33"/>
      <c r="W48" s="33"/>
      <c r="X48" s="33"/>
      <c r="Y48" s="33"/>
      <c r="Z48" s="2"/>
    </row>
    <row r="49" spans="15:26" ht="27.75" customHeight="1" x14ac:dyDescent="0.25">
      <c r="O49" s="2"/>
      <c r="P49" s="2"/>
      <c r="Q49" s="2"/>
      <c r="R49" s="2"/>
      <c r="S49" s="2"/>
      <c r="T49" s="33"/>
      <c r="U49" s="33"/>
      <c r="V49" s="33"/>
      <c r="W49" s="33"/>
      <c r="X49" s="33"/>
      <c r="Y49" s="33"/>
      <c r="Z49" s="2"/>
    </row>
    <row r="50" spans="15:26" ht="27.75" customHeight="1" x14ac:dyDescent="0.25">
      <c r="O50" s="2"/>
      <c r="P50" s="2"/>
      <c r="Q50" s="2"/>
      <c r="R50" s="2"/>
      <c r="S50" s="2"/>
      <c r="T50" s="33"/>
      <c r="U50" s="33"/>
      <c r="V50" s="33"/>
      <c r="W50" s="33"/>
      <c r="X50" s="33"/>
      <c r="Y50" s="33"/>
      <c r="Z50" s="2"/>
    </row>
    <row r="51" spans="15:26" ht="27.75" customHeight="1" x14ac:dyDescent="0.25">
      <c r="O51" s="2"/>
      <c r="P51" s="2"/>
      <c r="Q51" s="2"/>
      <c r="R51" s="2"/>
      <c r="S51" s="2"/>
      <c r="T51" s="33"/>
      <c r="U51" s="33"/>
      <c r="V51" s="33"/>
      <c r="W51" s="33"/>
      <c r="X51" s="33"/>
      <c r="Y51" s="33"/>
      <c r="Z51" s="2"/>
    </row>
    <row r="52" spans="15:26" ht="27.75" customHeight="1" x14ac:dyDescent="0.25">
      <c r="O52" s="2"/>
      <c r="P52" s="2"/>
      <c r="Q52" s="2"/>
      <c r="R52" s="2"/>
      <c r="S52" s="2"/>
      <c r="T52" s="33"/>
      <c r="U52" s="33"/>
      <c r="V52" s="33"/>
      <c r="W52" s="33"/>
      <c r="X52" s="33"/>
      <c r="Y52" s="33"/>
      <c r="Z52" s="2"/>
    </row>
    <row r="53" spans="15:26" ht="27.75" customHeight="1" x14ac:dyDescent="0.25">
      <c r="O53" s="2"/>
      <c r="P53" s="2"/>
      <c r="Q53" s="2"/>
      <c r="R53" s="2"/>
      <c r="S53" s="2"/>
      <c r="T53" s="33"/>
      <c r="U53" s="33"/>
      <c r="V53" s="33"/>
      <c r="W53" s="33"/>
      <c r="X53" s="33"/>
      <c r="Y53" s="33"/>
      <c r="Z53" s="2"/>
    </row>
    <row r="54" spans="15:26" ht="27.75" customHeight="1" x14ac:dyDescent="0.25">
      <c r="O54" s="2"/>
      <c r="P54" s="2"/>
      <c r="Q54" s="2"/>
      <c r="R54" s="2"/>
      <c r="S54" s="2"/>
      <c r="T54" s="33"/>
      <c r="U54" s="33"/>
      <c r="V54" s="33"/>
      <c r="W54" s="33"/>
      <c r="X54" s="33"/>
      <c r="Y54" s="33"/>
      <c r="Z54" s="2"/>
    </row>
    <row r="55" spans="15:26" ht="27.75" customHeight="1" x14ac:dyDescent="0.25">
      <c r="O55" s="2"/>
      <c r="P55" s="2"/>
      <c r="Q55" s="2"/>
      <c r="R55" s="2"/>
      <c r="S55" s="2"/>
      <c r="T55" s="33"/>
      <c r="U55" s="33"/>
      <c r="V55" s="33"/>
      <c r="W55" s="33"/>
      <c r="X55" s="33"/>
      <c r="Y55" s="33"/>
      <c r="Z55" s="2"/>
    </row>
    <row r="56" spans="15:26" ht="27.75" customHeight="1" x14ac:dyDescent="0.25">
      <c r="O56" s="2"/>
      <c r="P56" s="2"/>
      <c r="Q56" s="2"/>
      <c r="R56" s="2"/>
      <c r="S56" s="2"/>
      <c r="T56" s="33"/>
      <c r="U56" s="33"/>
      <c r="V56" s="33"/>
      <c r="W56" s="33"/>
      <c r="X56" s="33"/>
      <c r="Y56" s="33"/>
      <c r="Z56" s="2"/>
    </row>
    <row r="57" spans="15:26" ht="27.75" customHeight="1" x14ac:dyDescent="0.25">
      <c r="O57" s="2"/>
      <c r="P57" s="2"/>
      <c r="Q57" s="2"/>
      <c r="R57" s="2"/>
      <c r="S57" s="2"/>
      <c r="T57" s="33"/>
      <c r="U57" s="33"/>
      <c r="V57" s="33"/>
      <c r="W57" s="33"/>
      <c r="X57" s="33"/>
      <c r="Y57" s="33"/>
      <c r="Z57" s="2"/>
    </row>
    <row r="58" spans="15:26" ht="27.75" customHeight="1" x14ac:dyDescent="0.25">
      <c r="O58" s="2"/>
      <c r="P58" s="2"/>
      <c r="Q58" s="2"/>
      <c r="R58" s="2"/>
      <c r="S58" s="2"/>
      <c r="T58" s="33"/>
      <c r="U58" s="33"/>
      <c r="V58" s="33"/>
      <c r="W58" s="33"/>
      <c r="X58" s="33"/>
      <c r="Y58" s="33"/>
      <c r="Z58" s="2"/>
    </row>
    <row r="59" spans="15:26" ht="27.75" customHeight="1" x14ac:dyDescent="0.25">
      <c r="O59" s="2"/>
      <c r="P59" s="2"/>
      <c r="Q59" s="2"/>
      <c r="R59" s="2"/>
      <c r="S59" s="2"/>
      <c r="T59" s="33"/>
      <c r="U59" s="33"/>
      <c r="V59" s="33"/>
      <c r="W59" s="33"/>
      <c r="X59" s="33"/>
      <c r="Y59" s="33"/>
      <c r="Z59" s="2"/>
    </row>
    <row r="60" spans="15:26" ht="27.75" customHeight="1" x14ac:dyDescent="0.25">
      <c r="O60" s="2"/>
      <c r="P60" s="2"/>
      <c r="Q60" s="2"/>
      <c r="R60" s="2"/>
      <c r="S60" s="2"/>
      <c r="T60" s="33"/>
      <c r="U60" s="33"/>
      <c r="V60" s="33"/>
      <c r="W60" s="33"/>
      <c r="X60" s="33"/>
      <c r="Y60" s="33"/>
      <c r="Z60" s="2"/>
    </row>
    <row r="61" spans="15:26" ht="27.75" customHeight="1" x14ac:dyDescent="0.25">
      <c r="O61" s="2"/>
      <c r="P61" s="2"/>
      <c r="Q61" s="2"/>
      <c r="R61" s="2"/>
      <c r="S61" s="2"/>
      <c r="T61" s="33"/>
      <c r="U61" s="33"/>
      <c r="V61" s="33"/>
      <c r="W61" s="33"/>
      <c r="X61" s="33"/>
      <c r="Y61" s="33"/>
      <c r="Z61" s="2"/>
    </row>
    <row r="62" spans="15:26" ht="27.75" customHeight="1" x14ac:dyDescent="0.25">
      <c r="O62" s="2"/>
      <c r="P62" s="2"/>
      <c r="Q62" s="2"/>
      <c r="R62" s="2"/>
      <c r="S62" s="2"/>
      <c r="T62" s="33"/>
      <c r="U62" s="33"/>
      <c r="V62" s="33"/>
      <c r="W62" s="33"/>
      <c r="X62" s="33"/>
      <c r="Y62" s="33"/>
      <c r="Z62" s="2"/>
    </row>
    <row r="63" spans="15:26" ht="27.75" customHeight="1" x14ac:dyDescent="0.25">
      <c r="O63" s="2"/>
      <c r="P63" s="2"/>
      <c r="Q63" s="2"/>
      <c r="R63" s="2"/>
      <c r="S63" s="2"/>
      <c r="T63" s="33"/>
      <c r="U63" s="33"/>
      <c r="V63" s="33"/>
      <c r="W63" s="33"/>
      <c r="X63" s="33"/>
      <c r="Y63" s="33"/>
      <c r="Z63" s="2"/>
    </row>
    <row r="64" spans="15:26" ht="27.75" customHeight="1" x14ac:dyDescent="0.25">
      <c r="O64" s="2"/>
      <c r="P64" s="2"/>
      <c r="Q64" s="2"/>
      <c r="R64" s="2"/>
      <c r="S64" s="2"/>
      <c r="T64" s="33"/>
      <c r="U64" s="33"/>
      <c r="V64" s="33"/>
      <c r="W64" s="33"/>
      <c r="X64" s="33"/>
      <c r="Y64" s="33"/>
      <c r="Z64" s="2"/>
    </row>
    <row r="65" spans="15:26" ht="27.75" customHeight="1" x14ac:dyDescent="0.25">
      <c r="O65" s="2"/>
      <c r="P65" s="2"/>
      <c r="Q65" s="2"/>
      <c r="R65" s="2"/>
      <c r="S65" s="2"/>
      <c r="T65" s="33"/>
      <c r="U65" s="33"/>
      <c r="V65" s="33"/>
      <c r="W65" s="33"/>
      <c r="X65" s="33"/>
      <c r="Y65" s="33"/>
      <c r="Z65" s="2"/>
    </row>
    <row r="66" spans="15:26" ht="27.75" customHeight="1" x14ac:dyDescent="0.25">
      <c r="O66" s="2"/>
      <c r="P66" s="2"/>
      <c r="Q66" s="2"/>
      <c r="R66" s="2"/>
      <c r="S66" s="2"/>
      <c r="T66" s="33"/>
      <c r="U66" s="33"/>
      <c r="V66" s="33"/>
      <c r="W66" s="33"/>
      <c r="X66" s="33"/>
      <c r="Y66" s="33"/>
      <c r="Z66" s="2"/>
    </row>
    <row r="67" spans="15:26" ht="27.75" customHeight="1" x14ac:dyDescent="0.25">
      <c r="O67" s="2"/>
      <c r="P67" s="2"/>
      <c r="Q67" s="2"/>
      <c r="R67" s="2"/>
      <c r="S67" s="2"/>
      <c r="T67" s="33"/>
      <c r="U67" s="33"/>
      <c r="V67" s="33"/>
      <c r="W67" s="33"/>
      <c r="X67" s="33"/>
      <c r="Y67" s="33"/>
      <c r="Z67" s="2"/>
    </row>
    <row r="68" spans="15:26" ht="27.75" customHeight="1" x14ac:dyDescent="0.25"/>
    <row r="69" spans="15:26" ht="27.75" customHeight="1" x14ac:dyDescent="0.25"/>
    <row r="70" spans="15:26" ht="27.75" customHeight="1" x14ac:dyDescent="0.25"/>
    <row r="71" spans="15:26" ht="27.75" customHeight="1" x14ac:dyDescent="0.25"/>
    <row r="72" spans="15:26" ht="27.75" customHeight="1" x14ac:dyDescent="0.25"/>
    <row r="73" spans="15:26" ht="27.75" customHeight="1" x14ac:dyDescent="0.25"/>
    <row r="74" spans="15:26" ht="27.75" customHeight="1" x14ac:dyDescent="0.25"/>
    <row r="75" spans="15:26" ht="27.75" customHeight="1" x14ac:dyDescent="0.25"/>
    <row r="76" spans="15:26" ht="27.75" customHeight="1" x14ac:dyDescent="0.25"/>
    <row r="77" spans="15:26" ht="27.75" customHeight="1" x14ac:dyDescent="0.25"/>
    <row r="78" spans="15:26" ht="27.75" customHeight="1" x14ac:dyDescent="0.25"/>
    <row r="79" spans="15:26" ht="27.75" customHeight="1" x14ac:dyDescent="0.25"/>
    <row r="80" spans="15:26" ht="27.75" customHeight="1" x14ac:dyDescent="0.25"/>
    <row r="81" ht="27.75" customHeight="1" x14ac:dyDescent="0.25"/>
    <row r="82" ht="27.75" customHeight="1" x14ac:dyDescent="0.25"/>
    <row r="83" ht="27.75" customHeight="1" x14ac:dyDescent="0.25"/>
    <row r="84" ht="27.75" customHeight="1" x14ac:dyDescent="0.25"/>
    <row r="85" ht="27.75" customHeight="1" x14ac:dyDescent="0.25"/>
    <row r="86" ht="27.75" customHeight="1" x14ac:dyDescent="0.25"/>
    <row r="87" ht="27.75" customHeight="1" x14ac:dyDescent="0.25"/>
    <row r="88" ht="27.75" customHeight="1" x14ac:dyDescent="0.25"/>
    <row r="89" ht="27.75" customHeight="1" x14ac:dyDescent="0.25"/>
    <row r="90" ht="27.75" customHeight="1" x14ac:dyDescent="0.25"/>
    <row r="91" ht="27.75" customHeight="1" x14ac:dyDescent="0.25"/>
    <row r="92" ht="27.75" customHeight="1" x14ac:dyDescent="0.25"/>
    <row r="93" ht="27.75" customHeight="1" x14ac:dyDescent="0.25"/>
    <row r="94" ht="27.75" customHeight="1" x14ac:dyDescent="0.25"/>
    <row r="95" ht="27.75" customHeight="1" x14ac:dyDescent="0.25"/>
    <row r="96" ht="27.75" customHeight="1" x14ac:dyDescent="0.25"/>
    <row r="97" ht="27.75" customHeight="1" x14ac:dyDescent="0.25"/>
    <row r="98" ht="27.75" customHeight="1" x14ac:dyDescent="0.25"/>
    <row r="99" ht="27.75" customHeight="1" x14ac:dyDescent="0.25"/>
    <row r="100" ht="27.75" customHeight="1" x14ac:dyDescent="0.25"/>
    <row r="101" ht="27.75" customHeight="1" x14ac:dyDescent="0.25"/>
    <row r="102" ht="27.75" customHeight="1" x14ac:dyDescent="0.25"/>
    <row r="103" ht="27.75" customHeight="1" x14ac:dyDescent="0.25"/>
    <row r="104" ht="27.75" customHeight="1" x14ac:dyDescent="0.25"/>
    <row r="105" ht="27.75" customHeight="1" x14ac:dyDescent="0.25"/>
    <row r="106" ht="27.75" customHeight="1" x14ac:dyDescent="0.25"/>
    <row r="107" ht="27.75" customHeight="1" x14ac:dyDescent="0.25"/>
    <row r="108" ht="27.75" customHeight="1" x14ac:dyDescent="0.25"/>
    <row r="109" ht="27.75" customHeight="1" x14ac:dyDescent="0.25"/>
    <row r="110" ht="27.75" customHeight="1" x14ac:dyDescent="0.25"/>
    <row r="111" ht="27.75" customHeight="1" x14ac:dyDescent="0.25"/>
    <row r="112" ht="27.75" customHeight="1" x14ac:dyDescent="0.25"/>
    <row r="113" ht="27.75" customHeight="1" x14ac:dyDescent="0.25"/>
    <row r="114" ht="27.75" customHeight="1" x14ac:dyDescent="0.25"/>
    <row r="115" ht="27.75" customHeight="1" x14ac:dyDescent="0.25"/>
    <row r="116" ht="27.75" customHeight="1" x14ac:dyDescent="0.25"/>
    <row r="117" ht="27.75" customHeight="1" x14ac:dyDescent="0.25"/>
    <row r="118" ht="27.75" customHeight="1" x14ac:dyDescent="0.25"/>
    <row r="119" ht="27.75" customHeight="1" x14ac:dyDescent="0.25"/>
    <row r="120" ht="27.75" customHeight="1" x14ac:dyDescent="0.25"/>
    <row r="121" ht="27.75" customHeight="1" x14ac:dyDescent="0.25"/>
    <row r="122" ht="27.75" customHeight="1" x14ac:dyDescent="0.25"/>
    <row r="123" ht="27.75" customHeight="1" x14ac:dyDescent="0.25"/>
    <row r="124" ht="27.75" customHeight="1" x14ac:dyDescent="0.25"/>
    <row r="125" ht="27.75" customHeight="1" x14ac:dyDescent="0.25"/>
    <row r="126" ht="27.75" customHeight="1" x14ac:dyDescent="0.25"/>
    <row r="127" ht="27.75" customHeight="1" x14ac:dyDescent="0.25"/>
    <row r="128" ht="27.75" customHeight="1" x14ac:dyDescent="0.25"/>
    <row r="129" ht="27.75" customHeight="1" x14ac:dyDescent="0.25"/>
    <row r="130" ht="27.75" customHeight="1" x14ac:dyDescent="0.25"/>
    <row r="131" ht="27.75" customHeight="1" x14ac:dyDescent="0.25"/>
    <row r="132" ht="27.75" customHeight="1" x14ac:dyDescent="0.25"/>
    <row r="133" ht="27.75" customHeight="1" x14ac:dyDescent="0.25"/>
    <row r="134" ht="27.75" customHeight="1" x14ac:dyDescent="0.25"/>
    <row r="135" ht="27.75" customHeight="1" x14ac:dyDescent="0.25"/>
    <row r="136" ht="27.75" customHeight="1" x14ac:dyDescent="0.25"/>
    <row r="137" ht="27.75" customHeight="1" x14ac:dyDescent="0.25"/>
    <row r="138" ht="27.75" customHeight="1" x14ac:dyDescent="0.25"/>
    <row r="139" ht="27.75" customHeight="1" x14ac:dyDescent="0.25"/>
    <row r="140" ht="27.75" customHeight="1" x14ac:dyDescent="0.25"/>
    <row r="141" ht="27.75" customHeight="1" x14ac:dyDescent="0.25"/>
    <row r="142" ht="27.75" customHeight="1" x14ac:dyDescent="0.25"/>
    <row r="143" ht="27.75" customHeight="1" x14ac:dyDescent="0.25"/>
    <row r="144" ht="27.75" customHeight="1" x14ac:dyDescent="0.25"/>
    <row r="145" ht="27.75" customHeight="1" x14ac:dyDescent="0.25"/>
    <row r="146" ht="27.75" customHeight="1" x14ac:dyDescent="0.25"/>
    <row r="147" ht="27.75" customHeight="1" x14ac:dyDescent="0.25"/>
    <row r="148" ht="27.75" customHeight="1" x14ac:dyDescent="0.25"/>
    <row r="149" ht="27.75" customHeight="1" x14ac:dyDescent="0.25"/>
    <row r="150" ht="27.75" customHeight="1" x14ac:dyDescent="0.25"/>
    <row r="151" ht="27.75" customHeight="1" x14ac:dyDescent="0.25"/>
    <row r="152" ht="27.75" customHeight="1" x14ac:dyDescent="0.25"/>
    <row r="153" ht="27.75" customHeight="1" x14ac:dyDescent="0.25"/>
    <row r="154" ht="27.75" customHeight="1" x14ac:dyDescent="0.25"/>
    <row r="155" ht="27.75" customHeight="1" x14ac:dyDescent="0.25"/>
    <row r="156" ht="27.75" customHeight="1" x14ac:dyDescent="0.25"/>
    <row r="157" ht="27.75" customHeight="1" x14ac:dyDescent="0.25"/>
    <row r="158" ht="27.75" customHeight="1" x14ac:dyDescent="0.25"/>
    <row r="159" ht="27.75" customHeight="1" x14ac:dyDescent="0.25"/>
    <row r="160" ht="27.75" customHeight="1" x14ac:dyDescent="0.25"/>
    <row r="161" ht="27.75" customHeight="1" x14ac:dyDescent="0.25"/>
    <row r="162" ht="27.75" customHeight="1" x14ac:dyDescent="0.25"/>
    <row r="163" ht="27.75" customHeight="1" x14ac:dyDescent="0.25"/>
    <row r="164" ht="27.75" customHeight="1" x14ac:dyDescent="0.25"/>
    <row r="165" ht="27.75" customHeight="1" x14ac:dyDescent="0.25"/>
    <row r="166" ht="27.75" customHeight="1" x14ac:dyDescent="0.25"/>
    <row r="167" ht="27.75" customHeight="1" x14ac:dyDescent="0.25"/>
    <row r="168" ht="27.75" customHeight="1" x14ac:dyDescent="0.25"/>
    <row r="169" ht="27.75" customHeight="1" x14ac:dyDescent="0.25"/>
    <row r="170" ht="27.75" customHeight="1" x14ac:dyDescent="0.25"/>
    <row r="171" ht="27.75" customHeight="1" x14ac:dyDescent="0.25"/>
    <row r="172" ht="27.75" customHeight="1" x14ac:dyDescent="0.25"/>
    <row r="173" ht="27.75" customHeight="1" x14ac:dyDescent="0.25"/>
    <row r="174" ht="27.75" customHeight="1" x14ac:dyDescent="0.25"/>
    <row r="175" ht="27.75" customHeight="1" x14ac:dyDescent="0.25"/>
    <row r="176" ht="27.75" customHeight="1" x14ac:dyDescent="0.25"/>
    <row r="177" ht="27.75" customHeight="1" x14ac:dyDescent="0.25"/>
    <row r="178" ht="27.75" customHeight="1" x14ac:dyDescent="0.25"/>
    <row r="179" ht="27.75" customHeight="1" x14ac:dyDescent="0.25"/>
    <row r="180" ht="27.75" customHeight="1" x14ac:dyDescent="0.25"/>
    <row r="181" ht="27.75" customHeight="1" x14ac:dyDescent="0.25"/>
    <row r="182" ht="27.75" customHeight="1" x14ac:dyDescent="0.25"/>
    <row r="183" ht="27.75" customHeight="1" x14ac:dyDescent="0.25"/>
    <row r="184" ht="27.75" customHeight="1" x14ac:dyDescent="0.25"/>
    <row r="185" ht="27.75" customHeight="1" x14ac:dyDescent="0.25"/>
    <row r="186" ht="27.75" customHeight="1" x14ac:dyDescent="0.25"/>
    <row r="187" ht="27.75" customHeight="1" x14ac:dyDescent="0.25"/>
    <row r="188" ht="27.75" customHeight="1" x14ac:dyDescent="0.25"/>
    <row r="189" ht="27.75" customHeight="1" x14ac:dyDescent="0.25"/>
    <row r="190" ht="27.75" customHeight="1" x14ac:dyDescent="0.25"/>
    <row r="191" ht="27.75" customHeight="1" x14ac:dyDescent="0.25"/>
    <row r="192" ht="27.75" customHeight="1" x14ac:dyDescent="0.25"/>
    <row r="193" ht="27.75" customHeight="1" x14ac:dyDescent="0.25"/>
    <row r="194" ht="27.75" customHeight="1" x14ac:dyDescent="0.25"/>
    <row r="195" ht="27.75" customHeight="1" x14ac:dyDescent="0.25"/>
    <row r="196" ht="27.75" customHeight="1" x14ac:dyDescent="0.25"/>
    <row r="197" ht="27.75" customHeight="1" x14ac:dyDescent="0.25"/>
    <row r="198" ht="27.75" customHeight="1" x14ac:dyDescent="0.25"/>
    <row r="199" ht="27.75" customHeight="1" x14ac:dyDescent="0.25"/>
    <row r="200" ht="27.75" customHeight="1" x14ac:dyDescent="0.25"/>
    <row r="201" ht="27.75" customHeight="1" x14ac:dyDescent="0.25"/>
    <row r="202" ht="27.75" customHeight="1" x14ac:dyDescent="0.25"/>
    <row r="203" ht="27.75" customHeight="1" x14ac:dyDescent="0.25"/>
    <row r="204" ht="27.75" customHeight="1" x14ac:dyDescent="0.25"/>
    <row r="205" ht="27.75" customHeight="1" x14ac:dyDescent="0.25"/>
    <row r="206" ht="27.75" customHeight="1" x14ac:dyDescent="0.25"/>
    <row r="207" ht="27.75" customHeight="1" x14ac:dyDescent="0.25"/>
    <row r="208" ht="27.75" customHeight="1" x14ac:dyDescent="0.25"/>
    <row r="209" ht="27.75" customHeight="1" x14ac:dyDescent="0.25"/>
    <row r="210" ht="27.75" customHeight="1" x14ac:dyDescent="0.25"/>
    <row r="211" ht="27.75" customHeight="1" x14ac:dyDescent="0.25"/>
    <row r="212" ht="27.75" customHeight="1" x14ac:dyDescent="0.25"/>
    <row r="213" ht="27.75" customHeight="1" x14ac:dyDescent="0.25"/>
    <row r="214" ht="27.75" customHeight="1" x14ac:dyDescent="0.25"/>
    <row r="215" ht="27.75" customHeight="1" x14ac:dyDescent="0.25"/>
    <row r="216" ht="27.75" customHeight="1" x14ac:dyDescent="0.25"/>
    <row r="217" ht="27.75" customHeight="1" x14ac:dyDescent="0.25"/>
    <row r="218" ht="27.75" customHeight="1" x14ac:dyDescent="0.25"/>
    <row r="219" ht="27.75" customHeight="1" x14ac:dyDescent="0.25"/>
    <row r="220" ht="27.75" customHeight="1" x14ac:dyDescent="0.25"/>
    <row r="221" ht="27.75" customHeight="1" x14ac:dyDescent="0.25"/>
    <row r="222" ht="27.75" customHeight="1" x14ac:dyDescent="0.25"/>
    <row r="223" ht="27.75" customHeight="1" x14ac:dyDescent="0.25"/>
    <row r="224" ht="27.75" customHeight="1" x14ac:dyDescent="0.25"/>
    <row r="225" ht="27.75" customHeight="1" x14ac:dyDescent="0.25"/>
    <row r="226" ht="27.75" customHeight="1" x14ac:dyDescent="0.25"/>
    <row r="227" ht="27.75" customHeight="1" x14ac:dyDescent="0.25"/>
    <row r="228" ht="27.75" customHeight="1" x14ac:dyDescent="0.25"/>
    <row r="229" ht="27.75" customHeight="1" x14ac:dyDescent="0.25"/>
    <row r="230" ht="27.75" customHeight="1" x14ac:dyDescent="0.25"/>
    <row r="231" ht="27.75" customHeight="1" x14ac:dyDescent="0.25"/>
    <row r="232" ht="27.75" customHeight="1" x14ac:dyDescent="0.25"/>
    <row r="233" ht="27.75" customHeight="1" x14ac:dyDescent="0.25"/>
    <row r="234" ht="27.75" customHeight="1" x14ac:dyDescent="0.25"/>
    <row r="235" ht="27.75" customHeight="1" x14ac:dyDescent="0.25"/>
    <row r="236" ht="27.75" customHeight="1" x14ac:dyDescent="0.25"/>
    <row r="237" ht="27.75" customHeight="1" x14ac:dyDescent="0.25"/>
    <row r="238" ht="27.75" customHeight="1" x14ac:dyDescent="0.25"/>
    <row r="239" ht="27.75" customHeight="1" x14ac:dyDescent="0.25"/>
    <row r="240" ht="27.75" customHeight="1" x14ac:dyDescent="0.25"/>
    <row r="241" ht="27.75" customHeight="1" x14ac:dyDescent="0.25"/>
    <row r="242" ht="27.75" customHeight="1" x14ac:dyDescent="0.25"/>
    <row r="243" ht="27.75" customHeight="1" x14ac:dyDescent="0.25"/>
    <row r="244" ht="27.75" customHeight="1" x14ac:dyDescent="0.25"/>
    <row r="245" ht="27.75" customHeight="1" x14ac:dyDescent="0.25"/>
    <row r="246" ht="27.75" customHeight="1" x14ac:dyDescent="0.25"/>
    <row r="247" ht="27.75" customHeight="1" x14ac:dyDescent="0.25"/>
    <row r="248" ht="27.75" customHeight="1" x14ac:dyDescent="0.25"/>
    <row r="249" ht="27.75" customHeight="1" x14ac:dyDescent="0.25"/>
    <row r="250" ht="27.75" customHeight="1" x14ac:dyDescent="0.25"/>
    <row r="251" ht="27.75" customHeight="1" x14ac:dyDescent="0.25"/>
    <row r="252" ht="27.75" customHeight="1" x14ac:dyDescent="0.25"/>
    <row r="253" ht="27.75" customHeight="1" x14ac:dyDescent="0.25"/>
    <row r="254" ht="27.75" customHeight="1" x14ac:dyDescent="0.25"/>
    <row r="255" ht="27.75" customHeight="1" x14ac:dyDescent="0.25"/>
    <row r="256" ht="27.75" customHeight="1" x14ac:dyDescent="0.25"/>
    <row r="257" ht="27.75" customHeight="1" x14ac:dyDescent="0.25"/>
    <row r="258" ht="27.75" customHeight="1" x14ac:dyDescent="0.25"/>
    <row r="259" ht="27.75" customHeight="1" x14ac:dyDescent="0.25"/>
    <row r="260" ht="27.75" customHeight="1" x14ac:dyDescent="0.25"/>
    <row r="261" ht="27.75" customHeight="1" x14ac:dyDescent="0.25"/>
    <row r="262" ht="27.75" customHeight="1" x14ac:dyDescent="0.25"/>
    <row r="263" ht="27.75" customHeight="1" x14ac:dyDescent="0.25"/>
    <row r="264" ht="27.75" customHeight="1" x14ac:dyDescent="0.25"/>
    <row r="265" ht="27.75" customHeight="1" x14ac:dyDescent="0.25"/>
    <row r="266" ht="27.75" customHeight="1" x14ac:dyDescent="0.25"/>
    <row r="267" ht="27.75" customHeight="1" x14ac:dyDescent="0.25"/>
    <row r="268" ht="27.75" customHeight="1" x14ac:dyDescent="0.25"/>
    <row r="269" ht="27.75" customHeight="1" x14ac:dyDescent="0.25"/>
    <row r="270" ht="27.75" customHeight="1" x14ac:dyDescent="0.25"/>
    <row r="271" ht="27.75" customHeight="1" x14ac:dyDescent="0.25"/>
    <row r="272" ht="27.75" customHeight="1" x14ac:dyDescent="0.25"/>
    <row r="273" ht="27.75" customHeight="1" x14ac:dyDescent="0.25"/>
    <row r="274" ht="27.75" customHeight="1" x14ac:dyDescent="0.25"/>
    <row r="275" ht="27.75" customHeight="1" x14ac:dyDescent="0.25"/>
    <row r="276" ht="27.75" customHeight="1" x14ac:dyDescent="0.25"/>
    <row r="277" ht="27.75" customHeight="1" x14ac:dyDescent="0.25"/>
    <row r="278" ht="27.75" customHeight="1" x14ac:dyDescent="0.25"/>
    <row r="279" ht="27.75" customHeight="1" x14ac:dyDescent="0.25"/>
    <row r="280" ht="27.75" customHeight="1" x14ac:dyDescent="0.25"/>
    <row r="281" ht="27.75" customHeight="1" x14ac:dyDescent="0.25"/>
    <row r="282" ht="27.75" customHeight="1" x14ac:dyDescent="0.25"/>
    <row r="283" ht="27.75" customHeight="1" x14ac:dyDescent="0.25"/>
    <row r="284" ht="27.75" customHeight="1" x14ac:dyDescent="0.25"/>
    <row r="285" ht="27.75" customHeight="1" x14ac:dyDescent="0.25"/>
    <row r="286" ht="27.75" customHeight="1" x14ac:dyDescent="0.25"/>
    <row r="287" ht="27.75" customHeight="1" x14ac:dyDescent="0.25"/>
    <row r="288" ht="27.75" customHeight="1" x14ac:dyDescent="0.25"/>
    <row r="289" ht="27.75" customHeight="1" x14ac:dyDescent="0.25"/>
    <row r="290" ht="27.75" customHeight="1" x14ac:dyDescent="0.25"/>
    <row r="291" ht="27.75" customHeight="1" x14ac:dyDescent="0.25"/>
    <row r="292" ht="27.75" customHeight="1" x14ac:dyDescent="0.25"/>
    <row r="293" ht="27.75" customHeight="1" x14ac:dyDescent="0.25"/>
    <row r="294" ht="27.75" customHeight="1" x14ac:dyDescent="0.25"/>
    <row r="295" ht="27.75" customHeight="1" x14ac:dyDescent="0.25"/>
    <row r="296" ht="27.75" customHeight="1" x14ac:dyDescent="0.25"/>
    <row r="297" ht="27.75" customHeight="1" x14ac:dyDescent="0.25"/>
    <row r="298" ht="27.75" customHeight="1" x14ac:dyDescent="0.25"/>
    <row r="299" ht="27.75" customHeight="1" x14ac:dyDescent="0.25"/>
    <row r="300" ht="27.75" customHeight="1" x14ac:dyDescent="0.25"/>
    <row r="301" ht="27.75" customHeight="1" x14ac:dyDescent="0.25"/>
    <row r="302" ht="27.75" customHeight="1" x14ac:dyDescent="0.25"/>
    <row r="303" ht="27.75" customHeight="1" x14ac:dyDescent="0.25"/>
    <row r="304" ht="27.75" customHeight="1" x14ac:dyDescent="0.25"/>
    <row r="305" ht="27.75" customHeight="1" x14ac:dyDescent="0.25"/>
    <row r="306" ht="27.75" customHeight="1" x14ac:dyDescent="0.25"/>
    <row r="307" ht="27.75" customHeight="1" x14ac:dyDescent="0.25"/>
    <row r="308" ht="27.75" customHeight="1" x14ac:dyDescent="0.25"/>
    <row r="309" ht="27.75" customHeight="1" x14ac:dyDescent="0.25"/>
    <row r="310" ht="27.75" customHeight="1" x14ac:dyDescent="0.25"/>
    <row r="311" ht="27.75" customHeight="1" x14ac:dyDescent="0.25"/>
    <row r="312" ht="27.75" customHeight="1" x14ac:dyDescent="0.25"/>
    <row r="313" ht="27.75" customHeight="1" x14ac:dyDescent="0.25"/>
    <row r="314" ht="27.75" customHeight="1" x14ac:dyDescent="0.25"/>
    <row r="315" ht="27.75" customHeight="1" x14ac:dyDescent="0.25"/>
    <row r="316" ht="27.75" customHeight="1" x14ac:dyDescent="0.25"/>
    <row r="317" ht="27.75" customHeight="1" x14ac:dyDescent="0.25"/>
    <row r="318" ht="27.75" customHeight="1" x14ac:dyDescent="0.25"/>
    <row r="319" ht="27.75" customHeight="1" x14ac:dyDescent="0.25"/>
    <row r="320" ht="27.75" customHeight="1" x14ac:dyDescent="0.25"/>
    <row r="321" ht="27.75" customHeight="1" x14ac:dyDescent="0.25"/>
    <row r="322" ht="27.75" customHeight="1" x14ac:dyDescent="0.25"/>
    <row r="323" ht="27.75" customHeight="1" x14ac:dyDescent="0.25"/>
    <row r="324" ht="27.75" customHeight="1" x14ac:dyDescent="0.25"/>
    <row r="325" ht="27.75" customHeight="1" x14ac:dyDescent="0.25"/>
    <row r="326" ht="27.75" customHeight="1" x14ac:dyDescent="0.25"/>
    <row r="327" ht="27.75" customHeight="1" x14ac:dyDescent="0.25"/>
    <row r="328" ht="27.75" customHeight="1" x14ac:dyDescent="0.25"/>
    <row r="329" ht="27.75" customHeight="1" x14ac:dyDescent="0.25"/>
    <row r="330" ht="27.75" customHeight="1" x14ac:dyDescent="0.25"/>
    <row r="331" ht="27.75" customHeight="1" x14ac:dyDescent="0.25"/>
    <row r="332" ht="27.75" customHeight="1" x14ac:dyDescent="0.25"/>
    <row r="333" ht="27.75" customHeight="1" x14ac:dyDescent="0.25"/>
    <row r="334" ht="27.75" customHeight="1" x14ac:dyDescent="0.25"/>
    <row r="335" ht="27.75" customHeight="1" x14ac:dyDescent="0.25"/>
    <row r="336" ht="27.75" customHeight="1" x14ac:dyDescent="0.25"/>
    <row r="337" ht="27.75" customHeight="1" x14ac:dyDescent="0.25"/>
    <row r="338" ht="27.75" customHeight="1" x14ac:dyDescent="0.25"/>
    <row r="339" ht="27.75" customHeight="1" x14ac:dyDescent="0.25"/>
    <row r="340" ht="27.75" customHeight="1" x14ac:dyDescent="0.25"/>
    <row r="341" ht="27.75" customHeight="1" x14ac:dyDescent="0.25"/>
    <row r="342" ht="27.75" customHeight="1" x14ac:dyDescent="0.25"/>
    <row r="343" ht="27.75" customHeight="1" x14ac:dyDescent="0.25"/>
    <row r="344" ht="27.75" customHeight="1" x14ac:dyDescent="0.25"/>
    <row r="345" ht="27.75" customHeight="1" x14ac:dyDescent="0.25"/>
    <row r="346" ht="27.75" customHeight="1" x14ac:dyDescent="0.25"/>
    <row r="347" ht="27.75" customHeight="1" x14ac:dyDescent="0.25"/>
    <row r="348" ht="27.75" customHeight="1" x14ac:dyDescent="0.25"/>
    <row r="349" ht="27.75" customHeight="1" x14ac:dyDescent="0.25"/>
    <row r="350" ht="27.75" customHeight="1" x14ac:dyDescent="0.25"/>
    <row r="351" ht="27.75" customHeight="1" x14ac:dyDescent="0.25"/>
    <row r="352" ht="27.75" customHeight="1" x14ac:dyDescent="0.25"/>
    <row r="353" ht="27.75" customHeight="1" x14ac:dyDescent="0.25"/>
    <row r="354" ht="27.75" customHeight="1" x14ac:dyDescent="0.25"/>
    <row r="355" ht="27.75" customHeight="1" x14ac:dyDescent="0.25"/>
    <row r="356" ht="27.75" customHeight="1" x14ac:dyDescent="0.25"/>
    <row r="357" ht="27.75" customHeight="1" x14ac:dyDescent="0.25"/>
    <row r="358" ht="27.75" customHeight="1" x14ac:dyDescent="0.25"/>
    <row r="359" ht="27.75" customHeight="1" x14ac:dyDescent="0.25"/>
    <row r="360" ht="27.75" customHeight="1" x14ac:dyDescent="0.25"/>
    <row r="361" ht="27.75" customHeight="1" x14ac:dyDescent="0.25"/>
    <row r="362" ht="27.75" customHeight="1" x14ac:dyDescent="0.25"/>
    <row r="363" ht="27.75" customHeight="1" x14ac:dyDescent="0.25"/>
    <row r="364" ht="27.75" customHeight="1" x14ac:dyDescent="0.25"/>
    <row r="365" ht="27.75" customHeight="1" x14ac:dyDescent="0.25"/>
    <row r="366" ht="27.75" customHeight="1" x14ac:dyDescent="0.25"/>
    <row r="367" ht="27.75" customHeight="1" x14ac:dyDescent="0.25"/>
    <row r="368" ht="27.75" customHeight="1" x14ac:dyDescent="0.25"/>
    <row r="369" ht="27.75" customHeight="1" x14ac:dyDescent="0.25"/>
    <row r="370" ht="27.75" customHeight="1" x14ac:dyDescent="0.25"/>
    <row r="371" ht="27.75" customHeight="1" x14ac:dyDescent="0.25"/>
    <row r="372" ht="27.75" customHeight="1" x14ac:dyDescent="0.25"/>
    <row r="373" ht="27.75" customHeight="1" x14ac:dyDescent="0.25"/>
    <row r="374" ht="27.75" customHeight="1" x14ac:dyDescent="0.25"/>
    <row r="375" ht="27.75" customHeight="1" x14ac:dyDescent="0.25"/>
    <row r="376" ht="27.75" customHeight="1" x14ac:dyDescent="0.25"/>
    <row r="377" ht="27.75" customHeight="1" x14ac:dyDescent="0.25"/>
    <row r="378" ht="27.75" customHeight="1" x14ac:dyDescent="0.25"/>
    <row r="379" ht="27.75" customHeight="1" x14ac:dyDescent="0.25"/>
    <row r="380" ht="27.75" customHeight="1" x14ac:dyDescent="0.25"/>
    <row r="381" ht="27.75" customHeight="1" x14ac:dyDescent="0.25"/>
    <row r="382" ht="27.75" customHeight="1" x14ac:dyDescent="0.25"/>
    <row r="383" ht="27.75" customHeight="1" x14ac:dyDescent="0.25"/>
    <row r="384" ht="27.75" customHeight="1" x14ac:dyDescent="0.25"/>
    <row r="385" ht="27.75" customHeight="1" x14ac:dyDescent="0.25"/>
    <row r="386" ht="27.75" customHeight="1" x14ac:dyDescent="0.25"/>
    <row r="387" ht="27.75" customHeight="1" x14ac:dyDescent="0.25"/>
    <row r="388" ht="27.75" customHeight="1" x14ac:dyDescent="0.25"/>
    <row r="389" ht="27.75" customHeight="1" x14ac:dyDescent="0.25"/>
    <row r="390" ht="27.75" customHeight="1" x14ac:dyDescent="0.25"/>
    <row r="391" ht="27.75" customHeight="1" x14ac:dyDescent="0.25"/>
    <row r="392" ht="27.75" customHeight="1" x14ac:dyDescent="0.25"/>
    <row r="393" ht="27.75" customHeight="1" x14ac:dyDescent="0.25"/>
    <row r="394" ht="27.75" customHeight="1" x14ac:dyDescent="0.25"/>
    <row r="395" ht="27.75" customHeight="1" x14ac:dyDescent="0.25"/>
    <row r="396" ht="27.75" customHeight="1" x14ac:dyDescent="0.25"/>
    <row r="397" ht="27.75" customHeight="1" x14ac:dyDescent="0.25"/>
    <row r="398" ht="27.75" customHeight="1" x14ac:dyDescent="0.25"/>
    <row r="399" ht="27.75" customHeight="1" x14ac:dyDescent="0.25"/>
    <row r="400" ht="27.75" customHeight="1" x14ac:dyDescent="0.25"/>
    <row r="401" ht="27.75" customHeight="1" x14ac:dyDescent="0.25"/>
    <row r="402" ht="27.75" customHeight="1" x14ac:dyDescent="0.25"/>
    <row r="403" ht="27.75" customHeight="1" x14ac:dyDescent="0.25"/>
    <row r="404" ht="27.75" customHeight="1" x14ac:dyDescent="0.25"/>
    <row r="405" ht="27.75" customHeight="1" x14ac:dyDescent="0.25"/>
    <row r="406" ht="27.75" customHeight="1" x14ac:dyDescent="0.25"/>
    <row r="407" ht="27.75" customHeight="1" x14ac:dyDescent="0.25"/>
    <row r="408" ht="27.75" customHeight="1" x14ac:dyDescent="0.25"/>
    <row r="409" ht="27.75" customHeight="1" x14ac:dyDescent="0.25"/>
    <row r="410" ht="27.75" customHeight="1" x14ac:dyDescent="0.25"/>
    <row r="411" ht="27.75" customHeight="1" x14ac:dyDescent="0.25"/>
    <row r="412" ht="27.75" customHeight="1" x14ac:dyDescent="0.25"/>
    <row r="413" ht="27.75" customHeight="1" x14ac:dyDescent="0.25"/>
    <row r="414" ht="27.75" customHeight="1" x14ac:dyDescent="0.25"/>
    <row r="415" ht="27.75" customHeight="1" x14ac:dyDescent="0.25"/>
    <row r="416" ht="27.75" customHeight="1" x14ac:dyDescent="0.25"/>
    <row r="417" ht="27.75" customHeight="1" x14ac:dyDescent="0.25"/>
    <row r="418" ht="27.75" customHeight="1" x14ac:dyDescent="0.25"/>
    <row r="419" ht="27.75" customHeight="1" x14ac:dyDescent="0.25"/>
    <row r="420" ht="27.75" customHeight="1" x14ac:dyDescent="0.25"/>
    <row r="421" ht="27.75" customHeight="1" x14ac:dyDescent="0.25"/>
    <row r="422" ht="27.75" customHeight="1" x14ac:dyDescent="0.25"/>
    <row r="423" ht="27.75" customHeight="1" x14ac:dyDescent="0.25"/>
    <row r="424" ht="27.75" customHeight="1" x14ac:dyDescent="0.25"/>
    <row r="425" ht="27.75" customHeight="1" x14ac:dyDescent="0.25"/>
    <row r="426" ht="27.75" customHeight="1" x14ac:dyDescent="0.25"/>
    <row r="427" ht="27.75" customHeight="1" x14ac:dyDescent="0.25"/>
    <row r="428" ht="27.75" customHeight="1" x14ac:dyDescent="0.25"/>
    <row r="429" ht="27.75" customHeight="1" x14ac:dyDescent="0.25"/>
    <row r="430" ht="27.75" customHeight="1" x14ac:dyDescent="0.25"/>
    <row r="431" ht="27.75" customHeight="1" x14ac:dyDescent="0.25"/>
    <row r="432" ht="27.75" customHeight="1" x14ac:dyDescent="0.25"/>
    <row r="433" ht="27.75" customHeight="1" x14ac:dyDescent="0.25"/>
    <row r="434" ht="27.75" customHeight="1" x14ac:dyDescent="0.25"/>
    <row r="435" ht="27.75" customHeight="1" x14ac:dyDescent="0.25"/>
    <row r="436" ht="27.75" customHeight="1" x14ac:dyDescent="0.25"/>
  </sheetData>
  <mergeCells count="6">
    <mergeCell ref="X8:Y8"/>
    <mergeCell ref="C2:H2"/>
    <mergeCell ref="D23:H23"/>
    <mergeCell ref="D12:H12"/>
    <mergeCell ref="S8:V8"/>
    <mergeCell ref="D5:H5"/>
  </mergeCells>
  <conditionalFormatting sqref="I9:I13">
    <cfRule type="colorScale" priority="53">
      <colorScale>
        <cfvo type="percentile" val="10"/>
        <cfvo type="max"/>
        <color rgb="FFFCFCFF"/>
        <color theme="1" tint="4.9989318521683403E-2"/>
      </colorScale>
    </cfRule>
  </conditionalFormatting>
  <conditionalFormatting sqref="J9:N13">
    <cfRule type="aboveAverage" dxfId="3" priority="22"/>
    <cfRule type="colorScale" priority="23">
      <colorScale>
        <cfvo type="percentile" val="10"/>
        <cfvo type="max"/>
        <color rgb="FFFCFCFF"/>
        <color theme="1" tint="4.9989318521683403E-2"/>
      </colorScale>
    </cfRule>
  </conditionalFormatting>
  <conditionalFormatting sqref="D6:H10">
    <cfRule type="aboveAverage" dxfId="2" priority="18"/>
    <cfRule type="colorScale" priority="19">
      <colorScale>
        <cfvo type="percentile" val="10"/>
        <cfvo type="max"/>
        <color rgb="FFFCFCFF"/>
        <color theme="1" tint="4.9989318521683403E-2"/>
      </colorScale>
    </cfRule>
  </conditionalFormatting>
  <conditionalFormatting sqref="W23:Z26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24:H28">
    <cfRule type="aboveAverage" dxfId="1" priority="9"/>
    <cfRule type="colorScale" priority="10">
      <colorScale>
        <cfvo type="percentile" val="10"/>
        <cfvo type="max"/>
        <color rgb="FFFCFCFF"/>
        <color theme="1" tint="4.9989318521683403E-2"/>
      </colorScale>
    </cfRule>
  </conditionalFormatting>
  <conditionalFormatting sqref="S9:V12">
    <cfRule type="colorScale" priority="7">
      <colorScale>
        <cfvo type="min"/>
        <cfvo type="max"/>
        <color rgb="FFFFEF9C"/>
        <color rgb="FF63BE7B"/>
      </colorScale>
    </cfRule>
  </conditionalFormatting>
  <conditionalFormatting sqref="V35:Z39">
    <cfRule type="colorScale" priority="3">
      <colorScale>
        <cfvo type="min"/>
        <cfvo type="max"/>
        <color rgb="FFFFEF9C"/>
        <color rgb="FF63BE7B"/>
      </colorScale>
    </cfRule>
  </conditionalFormatting>
  <conditionalFormatting sqref="D13:H17">
    <cfRule type="aboveAverage" dxfId="0" priority="1"/>
    <cfRule type="colorScale" priority="2">
      <colorScale>
        <cfvo type="percentile" val="10"/>
        <cfvo type="max"/>
        <color rgb="FFFCFCFF"/>
        <color theme="1" tint="4.9989318521683403E-2"/>
      </colorScale>
    </cfRule>
  </conditionalFormatting>
  <hyperlinks>
    <hyperlink ref="C2" r:id="rId1" xr:uid="{78E6A6DF-00AB-4917-AA49-CB75DD077C19}"/>
  </hyperlinks>
  <pageMargins left="0.511811024" right="0.511811024" top="0.78740157499999996" bottom="0.78740157499999996" header="0.31496062000000002" footer="0.31496062000000002"/>
  <drawing r:id="rId2"/>
  <legacyDrawing r:id="rId3"/>
  <controls>
    <mc:AlternateContent xmlns:mc="http://schemas.openxmlformats.org/markup-compatibility/2006">
      <mc:Choice Requires="x14">
        <control shapeId="2054" r:id="rId4" name="CommandButton1">
          <controlPr defaultSize="0" autoLine="0" autoPict="0" r:id="rId5">
            <anchor moveWithCells="1">
              <from>
                <xdr:col>36</xdr:col>
                <xdr:colOff>9525</xdr:colOff>
                <xdr:row>4</xdr:row>
                <xdr:rowOff>85725</xdr:rowOff>
              </from>
              <to>
                <xdr:col>38</xdr:col>
                <xdr:colOff>38100</xdr:colOff>
                <xdr:row>5</xdr:row>
                <xdr:rowOff>180975</xdr:rowOff>
              </to>
            </anchor>
          </controlPr>
        </control>
      </mc:Choice>
      <mc:Fallback>
        <control shapeId="205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Valdecy Pereira</dc:creator>
  <cp:lastModifiedBy>Valdecy Pereira</cp:lastModifiedBy>
  <dcterms:created xsi:type="dcterms:W3CDTF">2015-06-05T18:19:34Z</dcterms:created>
  <dcterms:modified xsi:type="dcterms:W3CDTF">2021-11-10T20:30:18Z</dcterms:modified>
</cp:coreProperties>
</file>